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ong tin chung" sheetId="1" state="visible" r:id="rId1"/>
    <sheet xmlns:r="http://schemas.openxmlformats.org/officeDocument/2006/relationships" name="2. Bang Can Doi Ke Toan" sheetId="2" state="visible" r:id="rId2"/>
    <sheet xmlns:r="http://schemas.openxmlformats.org/officeDocument/2006/relationships" name="3. KQKD" sheetId="3" state="visible" r:id="rId3"/>
    <sheet xmlns:r="http://schemas.openxmlformats.org/officeDocument/2006/relationships" name="4. Luu Chuyen Tien Te" sheetId="4" state="visible" r:id="rId4"/>
    <sheet xmlns:r="http://schemas.openxmlformats.org/officeDocument/2006/relationships" name="5. Thuyet Minh BCTC" sheetId="5" state="visible" r:id="rId5"/>
    <sheet xmlns:r="http://schemas.openxmlformats.org/officeDocument/2006/relationships" name="6. Phan Tich Tai C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 lần"/>
    <numFmt numFmtId="166" formatCode="0.0"/>
  </numFmts>
  <fonts count="11">
    <font>
      <name val="Calibri"/>
      <family val="2"/>
      <color theme="1"/>
      <sz val="11"/>
      <scheme val="minor"/>
    </font>
    <font>
      <name val="Times New Roman"/>
      <b val="1"/>
      <color rgb="001F4E79"/>
      <sz val="16"/>
    </font>
    <font>
      <name val="Times New Roman"/>
      <b val="1"/>
      <color rgb="00333333"/>
      <sz val="13"/>
    </font>
    <font>
      <name val="Times New Roman"/>
      <i val="1"/>
      <color rgb="00333333"/>
      <sz val="11"/>
    </font>
    <font>
      <name val="Times New Roman"/>
      <b val="1"/>
      <color rgb="001F4E79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FFFFFF"/>
      <sz val="11"/>
    </font>
    <font>
      <name val="Times New Roman"/>
      <i val="1"/>
      <color rgb="00666666"/>
      <sz val="10"/>
    </font>
    <font>
      <name val="Times New Roman"/>
      <b val="1"/>
      <color rgb="001F4E79"/>
      <sz val="14"/>
    </font>
    <font>
      <name val="Times New Roman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double">
        <color rgb="001F4E79"/>
      </bottom>
    </border>
    <border>
      <left/>
      <right/>
      <top style="medium">
        <color rgb="001F4E79"/>
      </top>
      <bottom/>
      <diagonal/>
    </border>
    <border>
      <left/>
      <right style="thin">
        <color rgb="00D9D9D9"/>
      </right>
      <top style="medium">
        <color rgb="001F4E79"/>
      </top>
      <bottom/>
      <diagonal/>
    </border>
    <border>
      <left/>
      <right style="thin">
        <color rgb="00D9D9D9"/>
      </right>
      <top style="medium">
        <color rgb="001F4E79"/>
      </top>
      <bottom style="double">
        <color rgb="001F4E7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3" fontId="9" fillId="5" borderId="2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0" applyAlignment="1" pivotButton="0" quotePrefix="0" xfId="0">
      <alignment horizontal="right" vertical="center"/>
    </xf>
    <xf numFmtId="0" fontId="5" fillId="0" borderId="2" pivotButton="0" quotePrefix="0" xfId="0"/>
    <xf numFmtId="3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0" customHeight="1">
      <c r="A1" s="1" t="inlineStr">
        <is>
          <t>BÁO CÁO TÀI CHÍNH NĂM 2026 (CHUỖI BÁN LẺ VIETMART)</t>
        </is>
      </c>
    </row>
    <row r="2" ht="24" customHeight="1">
      <c r="A2" s="2" t="inlineStr">
        <is>
          <t>CÔNG TY CỔ PHẦN BÁCH HÓA VIỆT (VIETMART DISTRIBUTION JSC)</t>
        </is>
      </c>
    </row>
    <row r="3" ht="20" customHeight="1">
      <c r="A3" s="3" t="inlineStr">
        <is>
          <t>Hệ thống 28 Siêu thị tiện ích &amp; Trung tâm Phân phối FMCG Miền Nam - Áp dụng Thông tư 200/2014/TT-BTC</t>
        </is>
      </c>
    </row>
    <row r="5" ht="25" customHeight="1">
      <c r="A5" s="4" t="inlineStr">
        <is>
          <t>I. THÔNG TIN PHÁP LÝ &amp; HỆ THỐNG PHÂN PHỐI</t>
        </is>
      </c>
    </row>
    <row r="6" ht="22" customHeight="1">
      <c r="A6" s="5" t="inlineStr">
        <is>
          <t>•</t>
        </is>
      </c>
      <c r="B6" s="6" t="inlineStr">
        <is>
          <t>Tên đầy đủ</t>
        </is>
      </c>
      <c r="D6" s="7" t="inlineStr">
        <is>
          <t>CÔNG TY CỔ PHẦN BÁCH HÓA VIỆT</t>
        </is>
      </c>
    </row>
    <row r="7" ht="22" customHeight="1">
      <c r="A7" s="5" t="inlineStr">
        <is>
          <t>•</t>
        </is>
      </c>
      <c r="B7" s="6" t="inlineStr">
        <is>
          <t>Tên giao dịch quốc tế</t>
        </is>
      </c>
      <c r="D7" s="7" t="inlineStr">
        <is>
          <t>VIETMART DISTRIBUTION JOINT STOCK COMPANY</t>
        </is>
      </c>
    </row>
    <row r="8" ht="22" customHeight="1">
      <c r="A8" s="5" t="inlineStr">
        <is>
          <t>•</t>
        </is>
      </c>
      <c r="B8" s="6" t="inlineStr">
        <is>
          <t>Mã số thuế / Giấy phép ĐKKD</t>
        </is>
      </c>
      <c r="D8" s="7" t="inlineStr">
        <is>
          <t>0312345678 (Đăng ký thay đổi lần thứ 6 ngày 12/04/2025)</t>
        </is>
      </c>
    </row>
    <row r="9" ht="22" customHeight="1">
      <c r="A9" s="5" t="inlineStr">
        <is>
          <t>•</t>
        </is>
      </c>
      <c r="B9" s="6" t="inlineStr">
        <is>
          <t>Vốn điều lệ thực góp</t>
        </is>
      </c>
      <c r="D9" s="7" t="inlineStr">
        <is>
          <t>10.000.000.000 VNĐ (Mười tỷ đồng - 1.000.000 cổ phần)</t>
        </is>
      </c>
    </row>
    <row r="10" ht="22" customHeight="1">
      <c r="A10" s="5" t="inlineStr">
        <is>
          <t>•</t>
        </is>
      </c>
      <c r="B10" s="6" t="inlineStr">
        <is>
          <t>Trụ sở điều hành chính</t>
        </is>
      </c>
      <c r="D10" s="7" t="inlineStr">
        <is>
          <t>Số 128 Đường Nguyễn Thị Minh Khai, Phường 6, Quận 3, TP. Hồ Chí Minh</t>
        </is>
      </c>
    </row>
    <row r="11" ht="22" customHeight="1">
      <c r="A11" s="5" t="inlineStr">
        <is>
          <t>•</t>
        </is>
      </c>
      <c r="B11" s="6" t="inlineStr">
        <is>
          <t>Quy mô hạ tầng kinh doanh</t>
        </is>
      </c>
      <c r="D11" s="7" t="inlineStr">
        <is>
          <t>Chuỗi 28 siêu thị VietMart Mart, 02 Tổng kho logistics tại Bình Dương &amp; Long An</t>
        </is>
      </c>
    </row>
    <row r="12" ht="22" customHeight="1">
      <c r="A12" s="5" t="inlineStr">
        <is>
          <t>•</t>
        </is>
      </c>
      <c r="B12" s="6" t="inlineStr">
        <is>
          <t>Ngành nghề kinh doanh chính</t>
        </is>
      </c>
      <c r="D12" s="7" t="inlineStr">
        <is>
          <t>Bán buôn, bán lẻ lương thực, thực phẩm, đồ uống, hóa mỹ phẩm và thiết bị gia dụng</t>
        </is>
      </c>
    </row>
    <row r="13" ht="22" customHeight="1">
      <c r="A13" s="5" t="inlineStr">
        <is>
          <t>•</t>
        </is>
      </c>
      <c r="B13" s="6" t="inlineStr">
        <is>
          <t>Người đại diện pháp luật</t>
        </is>
      </c>
      <c r="D13" s="7" t="inlineStr">
        <is>
          <t>Bà NGUYỄN HOÀNG MAI - Tổng Giám đốc</t>
        </is>
      </c>
    </row>
    <row r="14" ht="22" customHeight="1">
      <c r="A14" s="5" t="inlineStr">
        <is>
          <t>•</t>
        </is>
      </c>
      <c r="B14" s="6" t="inlineStr">
        <is>
          <t>Kế toán trưởng</t>
        </is>
      </c>
      <c r="D14" s="7" t="inlineStr">
        <is>
          <t>Ông PHẠM MINH ĐỨC</t>
        </is>
      </c>
    </row>
    <row r="15" ht="22" customHeight="1">
      <c r="A15" s="5" t="inlineStr">
        <is>
          <t>•</t>
        </is>
      </c>
      <c r="B15" s="6" t="inlineStr">
        <is>
          <t>Tổ chức kiểm toán độc lập</t>
        </is>
      </c>
      <c r="D15" s="7" t="inlineStr">
        <is>
          <t>Công ty TNHH Kiểm toán &amp; Thẩm định giá PwC Việt Nam</t>
        </is>
      </c>
    </row>
    <row r="16" ht="22" customHeight="1">
      <c r="A16" s="5" t="inlineStr">
        <is>
          <t>•</t>
        </is>
      </c>
      <c r="B16" s="6" t="inlineStr">
        <is>
          <t>Đặc thù mô hình kinh doanh</t>
        </is>
      </c>
      <c r="D16" s="7" t="inlineStr">
        <is>
          <t>Bán lẻ thu tiền ngay, vòng quay tồn kho nhanh, đòn bẩy chiếm dụng vốn nhà cung cấp cao</t>
        </is>
      </c>
    </row>
    <row r="18" ht="25" customHeight="1">
      <c r="A18" s="4" t="inlineStr">
        <is>
          <t>II. TỔNG HỢP CÁC CHỈ SỐ TÀI CHÍNH CỐT LÕI (NGÀNH BÁN LẺ &amp; CHUỖI PHÂN PHỐI)</t>
        </is>
      </c>
    </row>
    <row r="19" ht="28" customHeight="1">
      <c r="A19" s="8" t="inlineStr">
        <is>
          <t>STT</t>
        </is>
      </c>
      <c r="B19" s="8" t="inlineStr">
        <is>
          <t>Chỉ tiêu tài chính</t>
        </is>
      </c>
      <c r="C19" s="8" t="inlineStr">
        <is>
          <t>ĐVT</t>
        </is>
      </c>
      <c r="D19" s="8" t="inlineStr">
        <is>
          <t>Năm 2026</t>
        </is>
      </c>
      <c r="E19" s="8" t="inlineStr">
        <is>
          <t>Năm 2025</t>
        </is>
      </c>
      <c r="F19" s="8" t="inlineStr">
        <is>
          <t>Chênh lệch (+/-)</t>
        </is>
      </c>
      <c r="G19" s="8" t="inlineStr">
        <is>
          <t>Tăng trưởng</t>
        </is>
      </c>
    </row>
    <row r="20" ht="22" customHeight="1">
      <c r="A20" s="9" t="n">
        <v>1</v>
      </c>
      <c r="B20" s="10" t="inlineStr">
        <is>
          <t>Doanh thu thuần bán hàng &amp; CCDV</t>
        </is>
      </c>
      <c r="C20" s="9" t="inlineStr">
        <is>
          <t>VNĐ</t>
        </is>
      </c>
      <c r="D20" s="11" t="n">
        <v>86500000000</v>
      </c>
      <c r="E20" s="11" t="n">
        <v>72800000000</v>
      </c>
      <c r="F20" s="11">
        <f>D20-E20</f>
        <v/>
      </c>
      <c r="G20" s="12">
        <f>F20/E20</f>
        <v/>
      </c>
    </row>
    <row r="21" ht="22" customHeight="1">
      <c r="A21" s="13" t="n">
        <v>2</v>
      </c>
      <c r="B21" s="14" t="inlineStr">
        <is>
          <t>Lợi nhuận gộp</t>
        </is>
      </c>
      <c r="C21" s="13" t="inlineStr">
        <is>
          <t>VNĐ</t>
        </is>
      </c>
      <c r="D21" s="15" t="n">
        <v>17300000000</v>
      </c>
      <c r="E21" s="15" t="n">
        <v>14268800000</v>
      </c>
      <c r="F21" s="15">
        <f>D21-E21</f>
        <v/>
      </c>
      <c r="G21" s="16">
        <f>F21/E21</f>
        <v/>
      </c>
    </row>
    <row r="22" ht="22" customHeight="1">
      <c r="A22" s="13" t="n">
        <v>3</v>
      </c>
      <c r="B22" s="14" t="inlineStr">
        <is>
          <t>Lợi nhuận kế toán trước thuế (LNTT)</t>
        </is>
      </c>
      <c r="C22" s="13" t="inlineStr">
        <is>
          <t>VNĐ</t>
        </is>
      </c>
      <c r="D22" s="15" t="n">
        <v>3750000000</v>
      </c>
      <c r="E22" s="15" t="n">
        <v>2125000000</v>
      </c>
      <c r="F22" s="15">
        <f>D22-E22</f>
        <v/>
      </c>
      <c r="G22" s="16">
        <f>F22/E22</f>
        <v/>
      </c>
    </row>
    <row r="23" ht="22" customHeight="1">
      <c r="A23" s="9" t="n">
        <v>4</v>
      </c>
      <c r="B23" s="10" t="inlineStr">
        <is>
          <t>Lợi nhuận sau thuế TNDN (LNST)</t>
        </is>
      </c>
      <c r="C23" s="9" t="inlineStr">
        <is>
          <t>VNĐ</t>
        </is>
      </c>
      <c r="D23" s="11" t="n">
        <v>3000000000</v>
      </c>
      <c r="E23" s="11" t="n">
        <v>1700000000</v>
      </c>
      <c r="F23" s="11">
        <f>D23-E23</f>
        <v/>
      </c>
      <c r="G23" s="12">
        <f>F23/E23</f>
        <v/>
      </c>
    </row>
    <row r="24" ht="22" customHeight="1">
      <c r="A24" s="13" t="n">
        <v>5</v>
      </c>
      <c r="B24" s="14" t="inlineStr">
        <is>
          <t>Tổng tài sản</t>
        </is>
      </c>
      <c r="C24" s="13" t="inlineStr">
        <is>
          <t>VNĐ</t>
        </is>
      </c>
      <c r="D24" s="15" t="n">
        <v>39000000000</v>
      </c>
      <c r="E24" s="15" t="n">
        <v>33000000000</v>
      </c>
      <c r="F24" s="15">
        <f>D24-E24</f>
        <v/>
      </c>
      <c r="G24" s="16">
        <f>F24/E24</f>
        <v/>
      </c>
    </row>
    <row r="25" ht="22" customHeight="1">
      <c r="A25" s="13" t="n">
        <v>6</v>
      </c>
      <c r="B25" s="14" t="inlineStr">
        <is>
          <t>Vốn chủ sở hữu</t>
        </is>
      </c>
      <c r="C25" s="13" t="inlineStr">
        <is>
          <t>VNĐ</t>
        </is>
      </c>
      <c r="D25" s="15" t="n">
        <v>15000000000</v>
      </c>
      <c r="E25" s="15" t="n">
        <v>12900000000</v>
      </c>
      <c r="F25" s="15">
        <f>D25-E25</f>
        <v/>
      </c>
      <c r="G25" s="16">
        <f>F25/E25</f>
        <v/>
      </c>
    </row>
    <row r="26" ht="22" customHeight="1">
      <c r="A26" s="13" t="n">
        <v>7</v>
      </c>
      <c r="B26" s="14" t="inlineStr">
        <is>
          <t>Hàng tồn kho cuối kỳ</t>
        </is>
      </c>
      <c r="C26" s="13" t="inlineStr">
        <is>
          <t>VNĐ</t>
        </is>
      </c>
      <c r="D26" s="15" t="n">
        <v>14650000000</v>
      </c>
      <c r="E26" s="15" t="n">
        <v>12800000000</v>
      </c>
      <c r="F26" s="15">
        <f>D26-E26</f>
        <v/>
      </c>
      <c r="G26" s="16">
        <f>F26/E26</f>
        <v/>
      </c>
    </row>
    <row r="27" ht="22" customHeight="1">
      <c r="A27" s="9" t="n">
        <v>8</v>
      </c>
      <c r="B27" s="10" t="inlineStr">
        <is>
          <t>Biên lợi nhuận gộp (Gross Margin)</t>
        </is>
      </c>
      <c r="C27" s="9" t="inlineStr">
        <is>
          <t>%</t>
        </is>
      </c>
      <c r="D27" s="12" t="n">
        <v>0.2</v>
      </c>
      <c r="E27" s="12" t="n">
        <v>0.196</v>
      </c>
      <c r="F27" s="12">
        <f>D27-E27</f>
        <v/>
      </c>
      <c r="G27" s="12">
        <f>F27/E27</f>
        <v/>
      </c>
    </row>
    <row r="28" ht="22" customHeight="1">
      <c r="A28" s="13" t="n">
        <v>9</v>
      </c>
      <c r="B28" s="14" t="inlineStr">
        <is>
          <t>Tỷ suất LNST / Doanh thu thuần (ROS)</t>
        </is>
      </c>
      <c r="C28" s="13" t="inlineStr">
        <is>
          <t>%</t>
        </is>
      </c>
      <c r="D28" s="16" t="n">
        <v>0.0347</v>
      </c>
      <c r="E28" s="16" t="n">
        <v>0.0234</v>
      </c>
      <c r="F28" s="16">
        <f>D28-E28</f>
        <v/>
      </c>
      <c r="G28" s="16">
        <f>F28/E28</f>
        <v/>
      </c>
    </row>
    <row r="29" ht="22" customHeight="1">
      <c r="A29" s="9" t="n">
        <v>10</v>
      </c>
      <c r="B29" s="10" t="inlineStr">
        <is>
          <t>Tỷ suất Sinh lời trên Vốn CSH (ROE)</t>
        </is>
      </c>
      <c r="C29" s="9" t="inlineStr">
        <is>
          <t>%</t>
        </is>
      </c>
      <c r="D29" s="12" t="n">
        <v>0.2151</v>
      </c>
      <c r="E29" s="12" t="n">
        <v>0.1411</v>
      </c>
      <c r="F29" s="12">
        <f>D29-E29</f>
        <v/>
      </c>
      <c r="G29" s="12">
        <f>F29/E29</f>
        <v/>
      </c>
    </row>
    <row r="30" ht="22" customHeight="1">
      <c r="A30" s="9" t="n">
        <v>11</v>
      </c>
      <c r="B30" s="10" t="inlineStr">
        <is>
          <t>Vòng quay hàng tồn kho (Vòng/năm)</t>
        </is>
      </c>
      <c r="C30" s="9" t="inlineStr">
        <is>
          <t>Vòng</t>
        </is>
      </c>
      <c r="D30" s="17" t="n">
        <v>5.04</v>
      </c>
      <c r="E30" s="17" t="n">
        <v>4.7</v>
      </c>
      <c r="F30" s="17">
        <f>D30-E30</f>
        <v/>
      </c>
      <c r="G30" s="12">
        <f>F30/E30</f>
        <v/>
      </c>
    </row>
    <row r="31" ht="22" customHeight="1">
      <c r="A31" s="13" t="n">
        <v>12</v>
      </c>
      <c r="B31" s="14" t="inlineStr">
        <is>
          <t>Hệ số Nợ phải trả / Tổng tài sản</t>
        </is>
      </c>
      <c r="C31" s="13" t="inlineStr">
        <is>
          <t>%</t>
        </is>
      </c>
      <c r="D31" s="16" t="n">
        <v>0.6153999999999999</v>
      </c>
      <c r="E31" s="16" t="n">
        <v>0.6091</v>
      </c>
      <c r="F31" s="16">
        <f>D31-E31</f>
        <v/>
      </c>
      <c r="G31" s="16">
        <f>F31/E31</f>
        <v/>
      </c>
    </row>
  </sheetData>
  <mergeCells count="27">
    <mergeCell ref="B16:C16"/>
    <mergeCell ref="D9:G9"/>
    <mergeCell ref="B7:C7"/>
    <mergeCell ref="D12:G12"/>
    <mergeCell ref="D8:G8"/>
    <mergeCell ref="D15:G15"/>
    <mergeCell ref="D14:G14"/>
    <mergeCell ref="B12:C12"/>
    <mergeCell ref="B11:C11"/>
    <mergeCell ref="B14:C14"/>
    <mergeCell ref="D10:G10"/>
    <mergeCell ref="B8:C8"/>
    <mergeCell ref="B13:C13"/>
    <mergeCell ref="A1:G1"/>
    <mergeCell ref="D6:G6"/>
    <mergeCell ref="B10:C10"/>
    <mergeCell ref="D11:G11"/>
    <mergeCell ref="D13:G13"/>
    <mergeCell ref="B9:C9"/>
    <mergeCell ref="B6:C6"/>
    <mergeCell ref="B15:C15"/>
    <mergeCell ref="A18:G18"/>
    <mergeCell ref="A3:G3"/>
    <mergeCell ref="D16:G16"/>
    <mergeCell ref="D7:G7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28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01 -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BẢNG CÂN ĐỐI KẾ TOÁN</t>
        </is>
      </c>
    </row>
    <row r="6" ht="20" customHeight="1">
      <c r="A6" s="23" t="inlineStr">
        <is>
          <t>Tại ngày 31 tháng 12 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Số cuối năm (31/12/2026)</t>
        </is>
      </c>
      <c r="E8" s="8" t="inlineStr">
        <is>
          <t>Số đầu năm (01/01/2026)</t>
        </is>
      </c>
    </row>
    <row r="9" ht="26" customHeight="1">
      <c r="A9" s="25" t="inlineStr">
        <is>
          <t>100</t>
        </is>
      </c>
      <c r="B9" s="26" t="inlineStr">
        <is>
          <t>A. TÀI SẢN NGẮN HẠN</t>
        </is>
      </c>
      <c r="C9" s="25" t="inlineStr"/>
      <c r="D9" s="27">
        <f>D10+D13+D14+D18+D19</f>
        <v/>
      </c>
      <c r="E9" s="27">
        <f>E10+E13+E14+E18+E19</f>
        <v/>
      </c>
    </row>
    <row r="10" ht="23" customHeight="1">
      <c r="A10" s="28" t="inlineStr">
        <is>
          <t>110</t>
        </is>
      </c>
      <c r="B10" s="29" t="inlineStr">
        <is>
          <t>I. Tiền và các khoản tương đương tiền</t>
        </is>
      </c>
      <c r="C10" s="28" t="inlineStr">
        <is>
          <t>V.01</t>
        </is>
      </c>
      <c r="D10" s="30">
        <f>D11+D12</f>
        <v/>
      </c>
      <c r="E10" s="30">
        <f>E11+E12</f>
        <v/>
      </c>
    </row>
    <row r="11" ht="23" customHeight="1">
      <c r="A11" s="13" t="inlineStr">
        <is>
          <t>111</t>
        </is>
      </c>
      <c r="B11" s="14" t="inlineStr">
        <is>
          <t>1. Tiền mặt tại chuỗi siêu thị và két quỹ</t>
        </is>
      </c>
      <c r="C11" s="13" t="inlineStr"/>
      <c r="D11" s="15" t="n">
        <v>850000000</v>
      </c>
      <c r="E11" s="15" t="n">
        <v>600000000</v>
      </c>
    </row>
    <row r="12" ht="23" customHeight="1">
      <c r="A12" s="13" t="inlineStr">
        <is>
          <t>112</t>
        </is>
      </c>
      <c r="B12" s="14" t="inlineStr">
        <is>
          <t>2. Tiền gửi ngân hàng không kỳ hạn</t>
        </is>
      </c>
      <c r="C12" s="13" t="inlineStr"/>
      <c r="D12" s="15" t="n">
        <v>4000000000</v>
      </c>
      <c r="E12" s="15" t="n">
        <v>2600000000</v>
      </c>
    </row>
    <row r="13" ht="23" customHeight="1">
      <c r="A13" s="28" t="inlineStr">
        <is>
          <t>120</t>
        </is>
      </c>
      <c r="B13" s="29" t="inlineStr">
        <is>
          <t>II. Đầu tư tài chính ngắn hạn (Tiền gửi 3 tháng)</t>
        </is>
      </c>
      <c r="C13" s="28" t="inlineStr">
        <is>
          <t>V.02</t>
        </is>
      </c>
      <c r="D13" s="30" t="n">
        <v>2000000000</v>
      </c>
      <c r="E13" s="30" t="n">
        <v>1500000000</v>
      </c>
    </row>
    <row r="14" ht="23" customHeight="1">
      <c r="A14" s="28" t="inlineStr">
        <is>
          <t>130</t>
        </is>
      </c>
      <c r="B14" s="29" t="inlineStr">
        <is>
          <t>III. Các khoản phải thu ngắn hạn</t>
        </is>
      </c>
      <c r="C14" s="28" t="inlineStr">
        <is>
          <t>V.03</t>
        </is>
      </c>
      <c r="D14" s="30">
        <f>SUM(D15:D17)</f>
        <v/>
      </c>
      <c r="E14" s="30">
        <f>SUM(E15:E17)</f>
        <v/>
      </c>
    </row>
    <row r="15" ht="23" customHeight="1">
      <c r="A15" s="13" t="inlineStr">
        <is>
          <t>131</t>
        </is>
      </c>
      <c r="B15" s="14" t="inlineStr">
        <is>
          <t>1. Phải thu ngắn hạn của khách hàng (Đại lý, B2B)</t>
        </is>
      </c>
      <c r="C15" s="13" t="inlineStr">
        <is>
          <t>V.03a</t>
        </is>
      </c>
      <c r="D15" s="15" t="n">
        <v>3250000000</v>
      </c>
      <c r="E15" s="15" t="n">
        <v>2800000000</v>
      </c>
    </row>
    <row r="16" ht="23" customHeight="1">
      <c r="A16" s="13" t="inlineStr">
        <is>
          <t>132</t>
        </is>
      </c>
      <c r="B16" s="14" t="inlineStr">
        <is>
          <t>2. Trả trước cho người bán ngắn hạn</t>
        </is>
      </c>
      <c r="C16" s="13" t="inlineStr"/>
      <c r="D16" s="15" t="n">
        <v>820000000</v>
      </c>
      <c r="E16" s="15" t="n">
        <v>650000000</v>
      </c>
    </row>
    <row r="17" ht="23" customHeight="1">
      <c r="A17" s="13" t="inlineStr">
        <is>
          <t>137</t>
        </is>
      </c>
      <c r="B17" s="14" t="inlineStr">
        <is>
          <t>3. Dự phòng phải thu ngắn hạn khó đòi (*)</t>
        </is>
      </c>
      <c r="C17" s="13" t="inlineStr">
        <is>
          <t>V.03b</t>
        </is>
      </c>
      <c r="D17" s="15" t="n">
        <v>-70000000</v>
      </c>
      <c r="E17" s="15" t="n">
        <v>-50000000</v>
      </c>
    </row>
    <row r="18" ht="23" customHeight="1">
      <c r="A18" s="28" t="inlineStr">
        <is>
          <t>140</t>
        </is>
      </c>
      <c r="B18" s="29" t="inlineStr">
        <is>
          <t>IV. Hàng tồn kho (Hàng hóa tại 28 siêu thị &amp; tổng kho)</t>
        </is>
      </c>
      <c r="C18" s="28" t="inlineStr">
        <is>
          <t>V.04</t>
        </is>
      </c>
      <c r="D18" s="30" t="n">
        <v>14650000000</v>
      </c>
      <c r="E18" s="30" t="n">
        <v>12800000000</v>
      </c>
    </row>
    <row r="19" ht="23" customHeight="1">
      <c r="A19" s="28" t="inlineStr">
        <is>
          <t>150</t>
        </is>
      </c>
      <c r="B19" s="29" t="inlineStr">
        <is>
          <t>V. Tài sản ngắn hạn khác (Thuế GTGT khấu trừ)</t>
        </is>
      </c>
      <c r="C19" s="28" t="inlineStr">
        <is>
          <t>V.05</t>
        </is>
      </c>
      <c r="D19" s="30" t="n">
        <v>300000000</v>
      </c>
      <c r="E19" s="30" t="n">
        <v>200000000</v>
      </c>
    </row>
    <row r="20" ht="26" customHeight="1">
      <c r="A20" s="25" t="inlineStr">
        <is>
          <t>200</t>
        </is>
      </c>
      <c r="B20" s="26" t="inlineStr">
        <is>
          <t>B. TÀI SẢN DÀI HẠN</t>
        </is>
      </c>
      <c r="C20" s="25" t="inlineStr"/>
      <c r="D20" s="27">
        <f>D21+D28+D29</f>
        <v/>
      </c>
      <c r="E20" s="27">
        <f>E21+E28+E29</f>
        <v/>
      </c>
    </row>
    <row r="21" ht="23" customHeight="1">
      <c r="A21" s="28" t="inlineStr">
        <is>
          <t>220</t>
        </is>
      </c>
      <c r="B21" s="29" t="inlineStr">
        <is>
          <t>I. Tài sản cố định</t>
        </is>
      </c>
      <c r="C21" s="28" t="inlineStr">
        <is>
          <t>V.06</t>
        </is>
      </c>
      <c r="D21" s="30">
        <f>D22+D25</f>
        <v/>
      </c>
      <c r="E21" s="30">
        <f>E22+E25</f>
        <v/>
      </c>
    </row>
    <row r="22" ht="23" customHeight="1">
      <c r="A22" s="13" t="inlineStr">
        <is>
          <t>221</t>
        </is>
      </c>
      <c r="B22" s="14" t="inlineStr">
        <is>
          <t>1. Tài sản cố định hữu hình (Quầy kệ, xe tải, kho lạnh)</t>
        </is>
      </c>
      <c r="C22" s="13" t="inlineStr"/>
      <c r="D22" s="15">
        <f>D23+D24</f>
        <v/>
      </c>
      <c r="E22" s="15">
        <f>E23+E24</f>
        <v/>
      </c>
    </row>
    <row r="23" ht="23" customHeight="1">
      <c r="A23" s="13" t="inlineStr">
        <is>
          <t>222</t>
        </is>
      </c>
      <c r="B23" s="14" t="inlineStr">
        <is>
          <t xml:space="preserve">   - Nguyên giá</t>
        </is>
      </c>
      <c r="C23" s="13" t="inlineStr"/>
      <c r="D23" s="15" t="n">
        <v>12500000000</v>
      </c>
      <c r="E23" s="15" t="n">
        <v>10200000000</v>
      </c>
    </row>
    <row r="24" ht="23" customHeight="1">
      <c r="A24" s="13" t="inlineStr">
        <is>
          <t>223</t>
        </is>
      </c>
      <c r="B24" s="14" t="inlineStr">
        <is>
          <t xml:space="preserve">   - Giá trị hao mòn lũy kế (*)</t>
        </is>
      </c>
      <c r="C24" s="13" t="inlineStr"/>
      <c r="D24" s="15" t="n">
        <v>-4200000000</v>
      </c>
      <c r="E24" s="15" t="n">
        <v>-3100000000</v>
      </c>
    </row>
    <row r="25" ht="23" customHeight="1">
      <c r="A25" s="13" t="inlineStr">
        <is>
          <t>227</t>
        </is>
      </c>
      <c r="B25" s="14" t="inlineStr">
        <is>
          <t>2. Tài sản cố định vô hình (Phần mềm ERP bán lẻ &amp; Brand)</t>
        </is>
      </c>
      <c r="C25" s="13" t="inlineStr"/>
      <c r="D25" s="15">
        <f>D26+D27</f>
        <v/>
      </c>
      <c r="E25" s="15">
        <f>E26+E27</f>
        <v/>
      </c>
    </row>
    <row r="26" ht="23" customHeight="1">
      <c r="A26" s="13" t="inlineStr">
        <is>
          <t>228</t>
        </is>
      </c>
      <c r="B26" s="14" t="inlineStr">
        <is>
          <t xml:space="preserve">   - Nguyên giá</t>
        </is>
      </c>
      <c r="C26" s="13" t="inlineStr"/>
      <c r="D26" s="15" t="n">
        <v>2400000000</v>
      </c>
      <c r="E26" s="15" t="n">
        <v>2000000000</v>
      </c>
    </row>
    <row r="27" ht="23" customHeight="1">
      <c r="A27" s="13" t="inlineStr">
        <is>
          <t>229</t>
        </is>
      </c>
      <c r="B27" s="14" t="inlineStr">
        <is>
          <t xml:space="preserve">   - Giá trị hao mòn lũy kế (*)</t>
        </is>
      </c>
      <c r="C27" s="13" t="inlineStr"/>
      <c r="D27" s="15" t="n">
        <v>-800000000</v>
      </c>
      <c r="E27" s="15" t="n">
        <v>-500000000</v>
      </c>
    </row>
    <row r="28" ht="23" customHeight="1">
      <c r="A28" s="28" t="inlineStr">
        <is>
          <t>240</t>
        </is>
      </c>
      <c r="B28" s="29" t="inlineStr">
        <is>
          <t>II. Tài sản dở dang dài hạn (Nâng cấp kho lạnh)</t>
        </is>
      </c>
      <c r="C28" s="28" t="inlineStr">
        <is>
          <t>V.07</t>
        </is>
      </c>
      <c r="D28" s="30" t="n">
        <v>1100000000</v>
      </c>
      <c r="E28" s="30" t="n">
        <v>1500000000</v>
      </c>
    </row>
    <row r="29" ht="23" customHeight="1">
      <c r="A29" s="28" t="inlineStr">
        <is>
          <t>260</t>
        </is>
      </c>
      <c r="B29" s="29" t="inlineStr">
        <is>
          <t>III. Tài sản dài hạn khác (Đặt cọc thuê 28 mặt bằng)</t>
        </is>
      </c>
      <c r="C29" s="28" t="inlineStr">
        <is>
          <t>V.08</t>
        </is>
      </c>
      <c r="D29" s="30" t="n">
        <v>2200000000</v>
      </c>
      <c r="E29" s="30" t="n">
        <v>1800000000</v>
      </c>
    </row>
    <row r="30" ht="28" customHeight="1">
      <c r="A30" s="31" t="inlineStr">
        <is>
          <t>270</t>
        </is>
      </c>
      <c r="B30" s="32" t="inlineStr">
        <is>
          <t>TỔNG CỘNG TÀI SẢN (270 = 100 + 200)</t>
        </is>
      </c>
      <c r="C30" s="31" t="inlineStr"/>
      <c r="D30" s="33">
        <f>D9+D20</f>
        <v/>
      </c>
      <c r="E30" s="33">
        <f>E9+E20</f>
        <v/>
      </c>
    </row>
    <row r="31" ht="26" customHeight="1">
      <c r="A31" s="25" t="inlineStr">
        <is>
          <t>300</t>
        </is>
      </c>
      <c r="B31" s="26" t="inlineStr">
        <is>
          <t>C. NỢ PHẢI TRẢ</t>
        </is>
      </c>
      <c r="C31" s="25" t="inlineStr"/>
      <c r="D31" s="27">
        <f>D32+D38</f>
        <v/>
      </c>
      <c r="E31" s="27">
        <f>E32+E38</f>
        <v/>
      </c>
    </row>
    <row r="32" ht="23" customHeight="1">
      <c r="A32" s="28" t="inlineStr">
        <is>
          <t>310</t>
        </is>
      </c>
      <c r="B32" s="29" t="inlineStr">
        <is>
          <t>I. Nợ ngắn hạn</t>
        </is>
      </c>
      <c r="C32" s="28" t="inlineStr">
        <is>
          <t>V.09</t>
        </is>
      </c>
      <c r="D32" s="30">
        <f>SUM(D33:D37)</f>
        <v/>
      </c>
      <c r="E32" s="30">
        <f>SUM(E33:E37)</f>
        <v/>
      </c>
    </row>
    <row r="33" ht="23" customHeight="1">
      <c r="A33" s="13" t="inlineStr">
        <is>
          <t>311</t>
        </is>
      </c>
      <c r="B33" s="14" t="inlineStr">
        <is>
          <t>1. Phải trả người bán ngắn hạn (Nhà cung cấp FMCG)</t>
        </is>
      </c>
      <c r="C33" s="13" t="inlineStr"/>
      <c r="D33" s="15" t="n">
        <v>9850000000</v>
      </c>
      <c r="E33" s="15" t="n">
        <v>8200000000</v>
      </c>
    </row>
    <row r="34" ht="23" customHeight="1">
      <c r="A34" s="13" t="inlineStr">
        <is>
          <t>312</t>
        </is>
      </c>
      <c r="B34" s="14" t="inlineStr">
        <is>
          <t>2. Người mua trả tiền trước ngắn hạn (Voucher, thẻ quà)</t>
        </is>
      </c>
      <c r="C34" s="13" t="inlineStr"/>
      <c r="D34" s="15" t="n">
        <v>450000000</v>
      </c>
      <c r="E34" s="15" t="n">
        <v>350000000</v>
      </c>
    </row>
    <row r="35" ht="23" customHeight="1">
      <c r="A35" s="13" t="inlineStr">
        <is>
          <t>313</t>
        </is>
      </c>
      <c r="B35" s="14" t="inlineStr">
        <is>
          <t>3. Thuế và các khoản phải nộp Nhà nước</t>
        </is>
      </c>
      <c r="C35" s="13" t="inlineStr">
        <is>
          <t>V.10</t>
        </is>
      </c>
      <c r="D35" s="15" t="n">
        <v>620000000</v>
      </c>
      <c r="E35" s="15" t="n">
        <v>480000000</v>
      </c>
    </row>
    <row r="36" ht="23" customHeight="1">
      <c r="A36" s="13" t="inlineStr">
        <is>
          <t>314</t>
        </is>
      </c>
      <c r="B36" s="14" t="inlineStr">
        <is>
          <t>4. Phải trả người lao động (Lương 320 nhân viên chuỗi)</t>
        </is>
      </c>
      <c r="C36" s="13" t="inlineStr"/>
      <c r="D36" s="15" t="n">
        <v>780000000</v>
      </c>
      <c r="E36" s="15" t="n">
        <v>620000000</v>
      </c>
    </row>
    <row r="37" ht="23" customHeight="1">
      <c r="A37" s="13" t="inlineStr">
        <is>
          <t>320</t>
        </is>
      </c>
      <c r="B37" s="14" t="inlineStr">
        <is>
          <t>5. Vay và nợ thuê tài chính ngắn hạn (Tài trợ hàng Tết)</t>
        </is>
      </c>
      <c r="C37" s="13" t="inlineStr">
        <is>
          <t>V.11</t>
        </is>
      </c>
      <c r="D37" s="15" t="n">
        <v>8500000000</v>
      </c>
      <c r="E37" s="15" t="n">
        <v>7200000000</v>
      </c>
    </row>
    <row r="38" ht="23" customHeight="1">
      <c r="A38" s="28" t="inlineStr">
        <is>
          <t>330</t>
        </is>
      </c>
      <c r="B38" s="29" t="inlineStr">
        <is>
          <t>II. Nợ dài hạn (Vay ngân hàng đầu tư xe tải &amp; kho lạnh)</t>
        </is>
      </c>
      <c r="C38" s="28" t="inlineStr">
        <is>
          <t>V.12</t>
        </is>
      </c>
      <c r="D38" s="30" t="n">
        <v>3800000000</v>
      </c>
      <c r="E38" s="30" t="n">
        <v>3250000000</v>
      </c>
    </row>
    <row r="39" ht="26" customHeight="1">
      <c r="A39" s="25" t="inlineStr">
        <is>
          <t>400</t>
        </is>
      </c>
      <c r="B39" s="26" t="inlineStr">
        <is>
          <t>D. VỐN CHỦ SỞ HỮU</t>
        </is>
      </c>
      <c r="C39" s="25" t="inlineStr"/>
      <c r="D39" s="27">
        <f>D40</f>
        <v/>
      </c>
      <c r="E39" s="27">
        <f>E40</f>
        <v/>
      </c>
    </row>
    <row r="40" ht="23" customHeight="1">
      <c r="A40" s="28" t="inlineStr">
        <is>
          <t>410</t>
        </is>
      </c>
      <c r="B40" s="29" t="inlineStr">
        <is>
          <t>I. Vốn chủ sở hữu</t>
        </is>
      </c>
      <c r="C40" s="28" t="inlineStr">
        <is>
          <t>V.13</t>
        </is>
      </c>
      <c r="D40" s="30">
        <f>D41+D42+D43</f>
        <v/>
      </c>
      <c r="E40" s="30">
        <f>E41+E42+E43</f>
        <v/>
      </c>
    </row>
    <row r="41" ht="23" customHeight="1">
      <c r="A41" s="13" t="inlineStr">
        <is>
          <t>411</t>
        </is>
      </c>
      <c r="B41" s="14" t="inlineStr">
        <is>
          <t>1. Vốn góp của chủ sở hữu</t>
        </is>
      </c>
      <c r="C41" s="13" t="inlineStr"/>
      <c r="D41" s="15" t="n">
        <v>10000000000</v>
      </c>
      <c r="E41" s="15" t="n">
        <v>10000000000</v>
      </c>
    </row>
    <row r="42" ht="23" customHeight="1">
      <c r="A42" s="13" t="inlineStr">
        <is>
          <t>418</t>
        </is>
      </c>
      <c r="B42" s="14" t="inlineStr">
        <is>
          <t>2. Quỹ đầu tư phát triển</t>
        </is>
      </c>
      <c r="C42" s="13" t="inlineStr"/>
      <c r="D42" s="15" t="n">
        <v>1500000000</v>
      </c>
      <c r="E42" s="15" t="n">
        <v>900000000</v>
      </c>
    </row>
    <row r="43" ht="23" customHeight="1">
      <c r="A43" s="13" t="inlineStr">
        <is>
          <t>421</t>
        </is>
      </c>
      <c r="B43" s="14" t="inlineStr">
        <is>
          <t>3. Lợi nhuận sau thuế chưa phân phối</t>
        </is>
      </c>
      <c r="C43" s="13" t="inlineStr"/>
      <c r="D43" s="15">
        <f>D44+D45</f>
        <v/>
      </c>
      <c r="E43" s="15">
        <f>E44+E45</f>
        <v/>
      </c>
    </row>
    <row r="44" ht="23" customHeight="1">
      <c r="A44" s="13" t="inlineStr">
        <is>
          <t>421a</t>
        </is>
      </c>
      <c r="B44" s="14" t="inlineStr">
        <is>
          <t xml:space="preserve">   - LNST chưa phân phối lũy kế kỳ trước</t>
        </is>
      </c>
      <c r="C44" s="13" t="inlineStr"/>
      <c r="D44" s="15" t="n">
        <v>500000000</v>
      </c>
      <c r="E44" s="15" t="n">
        <v>300000000</v>
      </c>
    </row>
    <row r="45" ht="23" customHeight="1">
      <c r="A45" s="13" t="inlineStr">
        <is>
          <t>421b</t>
        </is>
      </c>
      <c r="B45" s="14" t="inlineStr">
        <is>
          <t xml:space="preserve">   - LNST chưa phân phối kỳ này</t>
        </is>
      </c>
      <c r="C45" s="13" t="inlineStr"/>
      <c r="D45" s="15" t="n">
        <v>3000000000</v>
      </c>
      <c r="E45" s="15" t="n">
        <v>1700000000</v>
      </c>
    </row>
    <row r="46" ht="28" customHeight="1">
      <c r="A46" s="31" t="inlineStr">
        <is>
          <t>440</t>
        </is>
      </c>
      <c r="B46" s="32" t="inlineStr">
        <is>
          <t>TỔNG CỘNG NGUỒN VỐN (440 = 300 + 400)</t>
        </is>
      </c>
      <c r="C46" s="31" t="inlineStr"/>
      <c r="D46" s="33">
        <f>D31+D39</f>
        <v/>
      </c>
      <c r="E46" s="33">
        <f>E31+E39</f>
        <v/>
      </c>
    </row>
    <row r="48" ht="25" customHeight="1">
      <c r="B48" s="34" t="inlineStr">
        <is>
          <t>KIỂM TRA CÂN ĐỐI (TỔNG TÀI SẢN - TỔNG NGUỒN VỐN):</t>
        </is>
      </c>
      <c r="D48" s="35">
        <f>D30-D46</f>
        <v/>
      </c>
      <c r="E48" s="35">
        <f>E30-E46</f>
        <v/>
      </c>
    </row>
    <row r="51">
      <c r="B51" s="5" t="inlineStr">
        <is>
          <t>Người lập biểu
(Ký, họ tên)</t>
        </is>
      </c>
      <c r="C51" s="5" t="inlineStr">
        <is>
          <t>Kế toán trưởng
(Ký, họ tên)</t>
        </is>
      </c>
      <c r="E51" s="5" t="inlineStr">
        <is>
          <t>TP.HCM, ngày 20 tháng 01 năm 2027
Tổng Giám đốc
(Ký, đóng dấu)</t>
        </is>
      </c>
    </row>
    <row r="55">
      <c r="B55" s="5" t="inlineStr">
        <is>
          <t>Lê Thị Cẩm Tú</t>
        </is>
      </c>
      <c r="C55" s="5" t="inlineStr">
        <is>
          <t>Phạm Minh Đức</t>
        </is>
      </c>
      <c r="E55" s="5" t="inlineStr">
        <is>
          <t>Nguyễn Hoàng Mai</t>
        </is>
      </c>
    </row>
  </sheetData>
  <mergeCells count="6">
    <mergeCell ref="B48:C48"/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1" customWidth="1" min="2" max="2"/>
    <col width="18" customWidth="1" min="3" max="3"/>
    <col width="26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02 -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BÁO CÁO KẾT QUẢ HOẠT ĐỘNG KINH DOANH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4" customHeight="1">
      <c r="A9" s="13" t="inlineStr">
        <is>
          <t>01</t>
        </is>
      </c>
      <c r="B9" s="14" t="inlineStr">
        <is>
          <t>1. Doanh thu bán hàng và cung cấp dịch vụ</t>
        </is>
      </c>
      <c r="C9" s="13" t="inlineStr">
        <is>
          <t>VI.01</t>
        </is>
      </c>
      <c r="D9" s="15" t="n">
        <v>86500000000</v>
      </c>
      <c r="E9" s="15" t="n">
        <v>72800000000</v>
      </c>
    </row>
    <row r="10" ht="24" customHeight="1">
      <c r="A10" s="13" t="inlineStr">
        <is>
          <t>02</t>
        </is>
      </c>
      <c r="B10" s="14" t="inlineStr">
        <is>
          <t>2. Các khoản giảm trừ doanh thu (Hàng trả lại, giảm giá)</t>
        </is>
      </c>
      <c r="C10" s="13" t="inlineStr">
        <is>
          <t>VI.02</t>
        </is>
      </c>
      <c r="D10" s="15" t="n">
        <v>0</v>
      </c>
      <c r="E10" s="15" t="n">
        <v>0</v>
      </c>
    </row>
    <row r="11" ht="24" customHeight="1">
      <c r="A11" s="25" t="inlineStr">
        <is>
          <t>10</t>
        </is>
      </c>
      <c r="B11" s="26" t="inlineStr">
        <is>
          <t>3. Doanh thu thuần về bán hàng và CCDV (10 = 01 - 02)</t>
        </is>
      </c>
      <c r="C11" s="25" t="inlineStr">
        <is>
          <t>VI.03</t>
        </is>
      </c>
      <c r="D11" s="27">
        <f>D9-D10</f>
        <v/>
      </c>
      <c r="E11" s="27">
        <f>E9-E10</f>
        <v/>
      </c>
    </row>
    <row r="12" ht="24" customHeight="1">
      <c r="A12" s="13" t="inlineStr">
        <is>
          <t>11</t>
        </is>
      </c>
      <c r="B12" s="14" t="inlineStr">
        <is>
          <t>4. Giá vốn hàng bán (FMCG và đồ uống)</t>
        </is>
      </c>
      <c r="C12" s="13" t="inlineStr">
        <is>
          <t>VI.04</t>
        </is>
      </c>
      <c r="D12" s="15" t="n">
        <v>69200000000</v>
      </c>
      <c r="E12" s="15" t="n">
        <v>58531200000</v>
      </c>
    </row>
    <row r="13" ht="24" customHeight="1">
      <c r="A13" s="25" t="inlineStr">
        <is>
          <t>20</t>
        </is>
      </c>
      <c r="B13" s="26" t="inlineStr">
        <is>
          <t>5. Lợi nhuận gộp về bán hàng và CCDV (20 = 10 - 11)</t>
        </is>
      </c>
      <c r="C13" s="25" t="inlineStr"/>
      <c r="D13" s="27">
        <f>D11-D12</f>
        <v/>
      </c>
      <c r="E13" s="27">
        <f>E11-E12</f>
        <v/>
      </c>
    </row>
    <row r="14" ht="24" customHeight="1">
      <c r="A14" s="13" t="inlineStr">
        <is>
          <t>21</t>
        </is>
      </c>
      <c r="B14" s="14" t="inlineStr">
        <is>
          <t>6. Doanh thu hoạt động tài chính (Chiết khấu TT)</t>
        </is>
      </c>
      <c r="C14" s="13" t="inlineStr">
        <is>
          <t>VI.05</t>
        </is>
      </c>
      <c r="D14" s="15" t="n">
        <v>420000000</v>
      </c>
      <c r="E14" s="15" t="n">
        <v>310000000</v>
      </c>
    </row>
    <row r="15" ht="24" customHeight="1">
      <c r="A15" s="13" t="inlineStr">
        <is>
          <t>22</t>
        </is>
      </c>
      <c r="B15" s="14" t="inlineStr">
        <is>
          <t>7. Chi phí tài chính (Lãi vay ngắn hạn tài trợ tồn kho)</t>
        </is>
      </c>
      <c r="C15" s="13" t="inlineStr">
        <is>
          <t>VI.06</t>
        </is>
      </c>
      <c r="D15" s="15" t="n">
        <v>860000000</v>
      </c>
      <c r="E15" s="15" t="n">
        <v>715000000</v>
      </c>
    </row>
    <row r="16" ht="24" customHeight="1">
      <c r="A16" s="13" t="inlineStr">
        <is>
          <t>23</t>
        </is>
      </c>
      <c r="B16" s="14" t="inlineStr">
        <is>
          <t xml:space="preserve">   - Trong đó: Chi phí lãi vay</t>
        </is>
      </c>
      <c r="C16" s="13" t="inlineStr"/>
      <c r="D16" s="15" t="n">
        <v>820000000</v>
      </c>
      <c r="E16" s="15" t="n">
        <v>680000000</v>
      </c>
    </row>
    <row r="17" ht="24" customHeight="1">
      <c r="A17" s="13" t="inlineStr">
        <is>
          <t>25</t>
        </is>
      </c>
      <c r="B17" s="14" t="inlineStr">
        <is>
          <t>8. Chi phí bán hàng (Thuê 28 mặt bằng, nhân viên POS)</t>
        </is>
      </c>
      <c r="C17" s="13" t="inlineStr">
        <is>
          <t>VI.07</t>
        </is>
      </c>
      <c r="D17" s="15" t="n">
        <v>10850000000</v>
      </c>
      <c r="E17" s="15" t="n">
        <v>9320000000</v>
      </c>
    </row>
    <row r="18" ht="24" customHeight="1">
      <c r="A18" s="13" t="inlineStr">
        <is>
          <t>26</t>
        </is>
      </c>
      <c r="B18" s="14" t="inlineStr">
        <is>
          <t>9. Chi phí quản lý doanh nghiệp (ERP, văn phòng)</t>
        </is>
      </c>
      <c r="C18" s="13" t="inlineStr">
        <is>
          <t>VI.08</t>
        </is>
      </c>
      <c r="D18" s="15" t="n">
        <v>2360000000</v>
      </c>
      <c r="E18" s="15" t="n">
        <v>2038800000</v>
      </c>
    </row>
    <row r="19" ht="24" customHeight="1">
      <c r="A19" s="25" t="inlineStr">
        <is>
          <t>30</t>
        </is>
      </c>
      <c r="B19" s="26" t="inlineStr">
        <is>
          <t>10. Lợi nhuận thuần từ HĐKD (30 = 20 + 21 - 22 - 25 - 26)</t>
        </is>
      </c>
      <c r="C19" s="25" t="inlineStr"/>
      <c r="D19" s="27">
        <f>D13+D14-D15-D17-D18</f>
        <v/>
      </c>
      <c r="E19" s="27">
        <f>E13+E14-E15-E17-E18</f>
        <v/>
      </c>
    </row>
    <row r="20" ht="24" customHeight="1">
      <c r="A20" s="13" t="inlineStr">
        <is>
          <t>31</t>
        </is>
      </c>
      <c r="B20" s="14" t="inlineStr">
        <is>
          <t>11. Thu nhập khác (Thanh lý phế liệu, quầy kệ)</t>
        </is>
      </c>
      <c r="C20" s="13" t="inlineStr">
        <is>
          <t>VI.09</t>
        </is>
      </c>
      <c r="D20" s="15" t="n">
        <v>120000000</v>
      </c>
      <c r="E20" s="15" t="n">
        <v>80000000</v>
      </c>
    </row>
    <row r="21" ht="24" customHeight="1">
      <c r="A21" s="13" t="inlineStr">
        <is>
          <t>32</t>
        </is>
      </c>
      <c r="B21" s="14" t="inlineStr">
        <is>
          <t>12. Chi phí khác</t>
        </is>
      </c>
      <c r="C21" s="13" t="inlineStr">
        <is>
          <t>VI.10</t>
        </is>
      </c>
      <c r="D21" s="15" t="n">
        <v>20000000</v>
      </c>
      <c r="E21" s="15" t="n">
        <v>20000000</v>
      </c>
    </row>
    <row r="22" ht="24" customHeight="1">
      <c r="A22" s="13" t="inlineStr">
        <is>
          <t>40</t>
        </is>
      </c>
      <c r="B22" s="14" t="inlineStr">
        <is>
          <t>13. Lợi nhuận khác (40 = 31 - 32)</t>
        </is>
      </c>
      <c r="C22" s="13" t="inlineStr"/>
      <c r="D22" s="15">
        <f>D20-D21</f>
        <v/>
      </c>
      <c r="E22" s="15">
        <f>E20-E21</f>
        <v/>
      </c>
    </row>
    <row r="23" ht="28" customHeight="1">
      <c r="A23" s="31" t="inlineStr">
        <is>
          <t>50</t>
        </is>
      </c>
      <c r="B23" s="32" t="inlineStr">
        <is>
          <t>14. TỔNG LỢI NHUẬN KẾ TOÁN TRƯỚC THUẾ (50 = 30 + 40)</t>
        </is>
      </c>
      <c r="C23" s="31" t="inlineStr"/>
      <c r="D23" s="33">
        <f>D19+D22</f>
        <v/>
      </c>
      <c r="E23" s="33">
        <f>E19+E22</f>
        <v/>
      </c>
    </row>
    <row r="24" ht="24" customHeight="1">
      <c r="A24" s="13" t="inlineStr">
        <is>
          <t>51</t>
        </is>
      </c>
      <c r="B24" s="14" t="inlineStr">
        <is>
          <t>15. Chi phí thuế TNDN hiện hành (20%)</t>
        </is>
      </c>
      <c r="C24" s="13" t="inlineStr">
        <is>
          <t>VI.11</t>
        </is>
      </c>
      <c r="D24" s="15" t="n">
        <v>750000000</v>
      </c>
      <c r="E24" s="15" t="n">
        <v>425000000</v>
      </c>
    </row>
    <row r="25" ht="24" customHeight="1">
      <c r="A25" s="13" t="inlineStr">
        <is>
          <t>52</t>
        </is>
      </c>
      <c r="B25" s="14" t="inlineStr">
        <is>
          <t>16. Chi phí thuế TNDN hoãn lại</t>
        </is>
      </c>
      <c r="C25" s="13" t="inlineStr"/>
      <c r="D25" s="15" t="n">
        <v>0</v>
      </c>
      <c r="E25" s="15" t="n">
        <v>0</v>
      </c>
    </row>
    <row r="26" ht="28" customHeight="1">
      <c r="A26" s="31" t="inlineStr">
        <is>
          <t>60</t>
        </is>
      </c>
      <c r="B26" s="32" t="inlineStr">
        <is>
          <t>17. LỢI NHUẬN SAU THUẾ TNDN (60 = 50 - 51 - 52)</t>
        </is>
      </c>
      <c r="C26" s="31" t="inlineStr"/>
      <c r="D26" s="33">
        <f>D23-D24-D25</f>
        <v/>
      </c>
      <c r="E26" s="33">
        <f>E23-E24-E25</f>
        <v/>
      </c>
    </row>
    <row r="27" ht="24" customHeight="1">
      <c r="A27" s="13" t="inlineStr">
        <is>
          <t>70</t>
        </is>
      </c>
      <c r="B27" s="14" t="inlineStr">
        <is>
          <t>18. Lãi cơ bản trên cổ phiếu (EPS) (VNĐ/CP)</t>
        </is>
      </c>
      <c r="C27" s="13" t="inlineStr">
        <is>
          <t>VI.12</t>
        </is>
      </c>
      <c r="D27" s="15">
        <f>ROUND(D26/1000000, 0)</f>
        <v/>
      </c>
      <c r="E27" s="15">
        <f>ROUND(E26/1000000, 0)</f>
        <v/>
      </c>
    </row>
    <row r="31">
      <c r="B31" s="5" t="inlineStr">
        <is>
          <t>Người lập biểu
(Ký, họ tên)</t>
        </is>
      </c>
      <c r="C31" s="5" t="inlineStr">
        <is>
          <t>Kế toán trưởng
(Ký, họ tên)</t>
        </is>
      </c>
      <c r="E31" s="5" t="inlineStr">
        <is>
          <t>TP.HCM, ngày 20 tháng 01 năm 2027
Tổng Giám đốc
(Ký, đóng dấu)</t>
        </is>
      </c>
    </row>
    <row r="35">
      <c r="B35" s="5" t="inlineStr">
        <is>
          <t>Lê Thị Cẩm Tú</t>
        </is>
      </c>
      <c r="C35" s="5" t="inlineStr">
        <is>
          <t>Phạm Minh Đức</t>
        </is>
      </c>
      <c r="E35" s="5" t="inlineStr">
        <is>
          <t>Nguyễn Hoàng Mai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1" customWidth="1" min="2" max="2"/>
    <col width="18" customWidth="1" min="3" max="3"/>
    <col width="24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03 -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BÁO CÁO LƯU CHUYỂN TIỀN TỆ (PHƯƠNG PHÁP GIÁN TIẾP)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6" customHeight="1">
      <c r="A9" s="25" t="inlineStr">
        <is>
          <t>I</t>
        </is>
      </c>
      <c r="B9" s="26" t="inlineStr">
        <is>
          <t>LƯU CHUYỂN TIỀN TỪ HOẠT ĐỘNG KINH DOANH</t>
        </is>
      </c>
      <c r="C9" s="25" t="inlineStr"/>
      <c r="D9" s="27" t="n"/>
      <c r="E9" s="27" t="n"/>
    </row>
    <row r="10" ht="23" customHeight="1">
      <c r="A10" s="13" t="inlineStr">
        <is>
          <t>01</t>
        </is>
      </c>
      <c r="B10" s="14" t="inlineStr">
        <is>
          <t>1. Lợi nhuận trước thuế</t>
        </is>
      </c>
      <c r="C10" s="13" t="inlineStr"/>
      <c r="D10" s="15">
        <f>'3. KQKD'!D23</f>
        <v/>
      </c>
      <c r="E10" s="15">
        <f>'3. KQKD'!E23</f>
        <v/>
      </c>
    </row>
    <row r="11" ht="23" customHeight="1">
      <c r="A11" s="13" t="inlineStr">
        <is>
          <t>02</t>
        </is>
      </c>
      <c r="B11" s="14" t="inlineStr">
        <is>
          <t>2. Điều chỉnh cho các khoản:</t>
        </is>
      </c>
      <c r="C11" s="13" t="inlineStr"/>
      <c r="D11" s="15" t="n"/>
      <c r="E11" s="15" t="n"/>
    </row>
    <row r="12" ht="23" customHeight="1">
      <c r="A12" s="13" t="inlineStr">
        <is>
          <t>03</t>
        </is>
      </c>
      <c r="B12" s="14" t="inlineStr">
        <is>
          <t xml:space="preserve">   - Khấu hao TSCĐ và BĐSĐT</t>
        </is>
      </c>
      <c r="C12" s="13" t="inlineStr"/>
      <c r="D12" s="15" t="n">
        <v>1400000000</v>
      </c>
      <c r="E12" s="15" t="n">
        <v>1150000000</v>
      </c>
    </row>
    <row r="13" ht="23" customHeight="1">
      <c r="A13" s="13" t="inlineStr">
        <is>
          <t>04</t>
        </is>
      </c>
      <c r="B13" s="14" t="inlineStr">
        <is>
          <t xml:space="preserve">   - Các khoản dự phòng</t>
        </is>
      </c>
      <c r="C13" s="13" t="inlineStr"/>
      <c r="D13" s="15" t="n">
        <v>20000000</v>
      </c>
      <c r="E13" s="15" t="n">
        <v>15000000</v>
      </c>
    </row>
    <row r="14" ht="23" customHeight="1">
      <c r="A14" s="13" t="inlineStr">
        <is>
          <t>06</t>
        </is>
      </c>
      <c r="B14" s="14" t="inlineStr">
        <is>
          <t xml:space="preserve">   - Chi phí lãi vay</t>
        </is>
      </c>
      <c r="C14" s="13" t="inlineStr"/>
      <c r="D14" s="15" t="n">
        <v>820000000</v>
      </c>
      <c r="E14" s="15" t="n">
        <v>680000000</v>
      </c>
    </row>
    <row r="15" ht="23" customHeight="1">
      <c r="A15" s="28" t="inlineStr">
        <is>
          <t>08</t>
        </is>
      </c>
      <c r="B15" s="29" t="inlineStr">
        <is>
          <t>3. Lợi nhuận từ HĐKD trước thay đổi vốn lưu động</t>
        </is>
      </c>
      <c r="C15" s="28" t="inlineStr"/>
      <c r="D15" s="30">
        <f>SUM(D10:D14)</f>
        <v/>
      </c>
      <c r="E15" s="30">
        <f>SUM(E10:E14)</f>
        <v/>
      </c>
    </row>
    <row r="16" ht="23" customHeight="1">
      <c r="A16" s="13" t="inlineStr">
        <is>
          <t>09</t>
        </is>
      </c>
      <c r="B16" s="14" t="inlineStr">
        <is>
          <t xml:space="preserve">   - Tăng/giảm các khoản phải thu</t>
        </is>
      </c>
      <c r="C16" s="13" t="inlineStr"/>
      <c r="D16" s="15" t="n">
        <v>-600000000</v>
      </c>
      <c r="E16" s="15" t="n">
        <v>-450000000</v>
      </c>
    </row>
    <row r="17" ht="23" customHeight="1">
      <c r="A17" s="13" t="inlineStr">
        <is>
          <t>10</t>
        </is>
      </c>
      <c r="B17" s="14" t="inlineStr">
        <is>
          <t xml:space="preserve">   - Tăng/giảm hàng tồn kho</t>
        </is>
      </c>
      <c r="C17" s="13" t="inlineStr"/>
      <c r="D17" s="15" t="n">
        <v>-1850000000</v>
      </c>
      <c r="E17" s="15" t="n">
        <v>-1600000000</v>
      </c>
    </row>
    <row r="18" ht="23" customHeight="1">
      <c r="A18" s="13" t="inlineStr">
        <is>
          <t>11</t>
        </is>
      </c>
      <c r="B18" s="14" t="inlineStr">
        <is>
          <t xml:space="preserve">   - Tăng/giảm các khoản phải trả (chiếm dụng vốn NCC)</t>
        </is>
      </c>
      <c r="C18" s="13" t="inlineStr"/>
      <c r="D18" s="15" t="n">
        <v>1950000000</v>
      </c>
      <c r="E18" s="15" t="n">
        <v>1420000000</v>
      </c>
    </row>
    <row r="19" ht="23" customHeight="1">
      <c r="A19" s="13" t="inlineStr">
        <is>
          <t>14</t>
        </is>
      </c>
      <c r="B19" s="14" t="inlineStr">
        <is>
          <t xml:space="preserve">   - Tiền lãi vay đã trả</t>
        </is>
      </c>
      <c r="C19" s="13" t="inlineStr"/>
      <c r="D19" s="15" t="n">
        <v>-820000000</v>
      </c>
      <c r="E19" s="15" t="n">
        <v>-680000000</v>
      </c>
    </row>
    <row r="20" ht="23" customHeight="1">
      <c r="A20" s="13" t="inlineStr">
        <is>
          <t>15</t>
        </is>
      </c>
      <c r="B20" s="14" t="inlineStr">
        <is>
          <t xml:space="preserve">   - Thuế thu nhập doanh nghiệp đã nộp</t>
        </is>
      </c>
      <c r="C20" s="13" t="inlineStr"/>
      <c r="D20" s="15" t="n">
        <v>-670000000</v>
      </c>
      <c r="E20" s="15" t="n">
        <v>-410000000</v>
      </c>
    </row>
    <row r="21" ht="23" customHeight="1">
      <c r="A21" s="28" t="inlineStr">
        <is>
          <t>20</t>
        </is>
      </c>
      <c r="B21" s="29" t="inlineStr">
        <is>
          <t>Lưu chuyển tiền thuần từ HĐKD (Mã 20)</t>
        </is>
      </c>
      <c r="C21" s="28" t="inlineStr"/>
      <c r="D21" s="30">
        <f>SUM(D15:D20)</f>
        <v/>
      </c>
      <c r="E21" s="30">
        <f>SUM(E15:E20)</f>
        <v/>
      </c>
    </row>
    <row r="22" ht="26" customHeight="1">
      <c r="A22" s="25" t="inlineStr">
        <is>
          <t>II</t>
        </is>
      </c>
      <c r="B22" s="26" t="inlineStr">
        <is>
          <t>LƯU CHUYỂN TIỀN TỪ HOẠT ĐỘNG ĐẦU TƯ</t>
        </is>
      </c>
      <c r="C22" s="25" t="inlineStr"/>
      <c r="D22" s="27" t="n"/>
      <c r="E22" s="27" t="n"/>
    </row>
    <row r="23" ht="23" customHeight="1">
      <c r="A23" s="13" t="inlineStr">
        <is>
          <t>21</t>
        </is>
      </c>
      <c r="B23" s="14" t="inlineStr">
        <is>
          <t>1. Tiền chi mua sắm, nâng cấp quầy kệ, kho lạnh và xe tải</t>
        </is>
      </c>
      <c r="C23" s="13" t="inlineStr"/>
      <c r="D23" s="15" t="n">
        <v>-3020000000</v>
      </c>
      <c r="E23" s="15" t="n">
        <v>-2450000000</v>
      </c>
    </row>
    <row r="24" ht="23" customHeight="1">
      <c r="A24" s="13" t="inlineStr">
        <is>
          <t>23</t>
        </is>
      </c>
      <c r="B24" s="14" t="inlineStr">
        <is>
          <t>2. Tiền gửi tiết kiệm ngân hàng có kỳ hạn</t>
        </is>
      </c>
      <c r="C24" s="13" t="inlineStr"/>
      <c r="D24" s="15" t="n">
        <v>-500000000</v>
      </c>
      <c r="E24" s="15" t="n">
        <v>-500000000</v>
      </c>
    </row>
    <row r="25" ht="23" customHeight="1">
      <c r="A25" s="13" t="inlineStr">
        <is>
          <t>27</t>
        </is>
      </c>
      <c r="B25" s="14" t="inlineStr">
        <is>
          <t>3. Tiền thu lãi cho vay, chiết khấu thanh toán</t>
        </is>
      </c>
      <c r="C25" s="13" t="inlineStr"/>
      <c r="D25" s="15" t="n">
        <v>420000000</v>
      </c>
      <c r="E25" s="15" t="n">
        <v>310000000</v>
      </c>
    </row>
    <row r="26" ht="23" customHeight="1">
      <c r="A26" s="28" t="inlineStr">
        <is>
          <t>30</t>
        </is>
      </c>
      <c r="B26" s="29" t="inlineStr">
        <is>
          <t>Lưu chuyển tiền thuần từ HĐĐT (Mã 30)</t>
        </is>
      </c>
      <c r="C26" s="28" t="inlineStr"/>
      <c r="D26" s="30">
        <f>SUM(D23:D25)</f>
        <v/>
      </c>
      <c r="E26" s="30">
        <f>SUM(E23:E25)</f>
        <v/>
      </c>
    </row>
    <row r="27" ht="26" customHeight="1">
      <c r="A27" s="25" t="inlineStr">
        <is>
          <t>III</t>
        </is>
      </c>
      <c r="B27" s="26" t="inlineStr">
        <is>
          <t>LƯU CHUYỂN TIỀN TỪ HOẠT ĐỘNG TÀI CHÍNH</t>
        </is>
      </c>
      <c r="C27" s="25" t="inlineStr"/>
      <c r="D27" s="27" t="n"/>
      <c r="E27" s="27" t="n"/>
    </row>
    <row r="28" ht="23" customHeight="1">
      <c r="A28" s="13" t="inlineStr">
        <is>
          <t>33</t>
        </is>
      </c>
      <c r="B28" s="14" t="inlineStr">
        <is>
          <t>1. Tiền thu từ đi vay ngắn hạn ngân hàng</t>
        </is>
      </c>
      <c r="C28" s="13" t="inlineStr"/>
      <c r="D28" s="15" t="n">
        <v>8500000000</v>
      </c>
      <c r="E28" s="15" t="n">
        <v>7200000000</v>
      </c>
    </row>
    <row r="29" ht="23" customHeight="1">
      <c r="A29" s="13" t="inlineStr">
        <is>
          <t>34</t>
        </is>
      </c>
      <c r="B29" s="14" t="inlineStr">
        <is>
          <t>2. Tiền trả nợ gốc vay ngân hàng</t>
        </is>
      </c>
      <c r="C29" s="13" t="inlineStr"/>
      <c r="D29" s="15" t="n">
        <v>-7200000000</v>
      </c>
      <c r="E29" s="15" t="n">
        <v>-6100000000</v>
      </c>
    </row>
    <row r="30" ht="23" customHeight="1">
      <c r="A30" s="13" t="inlineStr">
        <is>
          <t>36</t>
        </is>
      </c>
      <c r="B30" s="14" t="inlineStr">
        <is>
          <t>3. Cổ tức, lợi nhuận đã trả cho chủ sở hữu</t>
        </is>
      </c>
      <c r="C30" s="13" t="inlineStr"/>
      <c r="D30" s="15" t="n">
        <v>-800000000</v>
      </c>
      <c r="E30" s="15" t="n">
        <v>-600000000</v>
      </c>
    </row>
    <row r="31" ht="23" customHeight="1">
      <c r="A31" s="28" t="inlineStr">
        <is>
          <t>40</t>
        </is>
      </c>
      <c r="B31" s="29" t="inlineStr">
        <is>
          <t>Lưu chuyển tiền thuần từ HĐTC (Mã 40)</t>
        </is>
      </c>
      <c r="C31" s="28" t="inlineStr"/>
      <c r="D31" s="30">
        <f>SUM(D28:D30)</f>
        <v/>
      </c>
      <c r="E31" s="30">
        <f>SUM(E28:E30)</f>
        <v/>
      </c>
    </row>
    <row r="32" ht="28" customHeight="1">
      <c r="A32" s="31" t="inlineStr">
        <is>
          <t>50</t>
        </is>
      </c>
      <c r="B32" s="32" t="inlineStr">
        <is>
          <t>LƯU CHUYỂN TIỀN THUẦN TRONG NĂM (50 = 20 + 30 + 40)</t>
        </is>
      </c>
      <c r="C32" s="31" t="inlineStr"/>
      <c r="D32" s="33">
        <f>D21+D26+D31</f>
        <v/>
      </c>
      <c r="E32" s="33">
        <f>E21+E26+E31</f>
        <v/>
      </c>
    </row>
    <row r="33" ht="23" customHeight="1">
      <c r="A33" s="13" t="inlineStr">
        <is>
          <t>60</t>
        </is>
      </c>
      <c r="B33" s="14" t="inlineStr">
        <is>
          <t>Tiền và tương đương tiền đầu năm</t>
        </is>
      </c>
      <c r="C33" s="13" t="inlineStr"/>
      <c r="D33" s="15" t="n">
        <v>3200000000</v>
      </c>
      <c r="E33" s="15" t="n">
        <v>2690000000</v>
      </c>
    </row>
    <row r="34" ht="23" customHeight="1">
      <c r="A34" s="13" t="inlineStr">
        <is>
          <t>61</t>
        </is>
      </c>
      <c r="B34" s="14" t="inlineStr">
        <is>
          <t>Ảnh hưởng của thay đổi tỷ giá hối đoái</t>
        </is>
      </c>
      <c r="C34" s="13" t="inlineStr"/>
      <c r="D34" s="15" t="n">
        <v>0</v>
      </c>
      <c r="E34" s="15" t="n">
        <v>0</v>
      </c>
    </row>
    <row r="35" ht="28" customHeight="1">
      <c r="A35" s="31" t="inlineStr">
        <is>
          <t>70</t>
        </is>
      </c>
      <c r="B35" s="32" t="inlineStr">
        <is>
          <t>TIỀN VÀ TƯƠNG ĐƯƠNG TIỀN CUỐI NĂM (70 = 50 + 60 + 61)</t>
        </is>
      </c>
      <c r="C35" s="31" t="inlineStr">
        <is>
          <t>V.01</t>
        </is>
      </c>
      <c r="D35" s="33">
        <f>D32+D33+D34</f>
        <v/>
      </c>
      <c r="E35" s="33">
        <f>E32+E33+E34</f>
        <v/>
      </c>
    </row>
    <row r="39">
      <c r="B39" s="5" t="inlineStr">
        <is>
          <t>Người lập biểu
(Ký, họ tên)</t>
        </is>
      </c>
      <c r="C39" s="5" t="inlineStr">
        <is>
          <t>Kế toán trưởng
(Ký, họ tên)</t>
        </is>
      </c>
      <c r="E39" s="5" t="inlineStr">
        <is>
          <t>TP.HCM, ngày 20 tháng 01 năm 2027
Tổng Giám đốc
(Ký, đóng dấu)</t>
        </is>
      </c>
    </row>
    <row r="43">
      <c r="B43" s="5" t="inlineStr">
        <is>
          <t>Lê Thị Cẩm Tú</t>
        </is>
      </c>
      <c r="C43" s="5" t="inlineStr">
        <is>
          <t>Phạm Minh Đức</t>
        </is>
      </c>
      <c r="E43" s="5" t="inlineStr">
        <is>
          <t>Nguyễn Hoàng Mai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2" customWidth="1" min="4" max="4"/>
    <col width="46" customWidth="1" min="5" max="5"/>
    <col width="25" customWidth="1" min="6" max="6"/>
  </cols>
  <sheetData>
    <row r="1">
      <c r="A1" s="18" t="inlineStr">
        <is>
          <t>CÔNG TY CỔ PHẦN BÁCH HÓA VIỆT</t>
        </is>
      </c>
      <c r="E1" s="19" t="inlineStr">
        <is>
          <t>Mẫu số B 09 -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BẢN THUYẾT MINH BÁO CÁO TÀI CHÍNH CHỌN LỌC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9" ht="26" customHeight="1">
      <c r="A9" s="4" t="inlineStr">
        <is>
          <t>1. HÀNG TỒN KHO THEO NGÀNH HÀNG TẠI 28 SIÊU THỊ &amp; TỔNG KHO (Thuyết minh V.04)</t>
        </is>
      </c>
    </row>
    <row r="10" ht="28" customHeight="1">
      <c r="A10" s="8" t="inlineStr">
        <is>
          <t>STT</t>
        </is>
      </c>
      <c r="B10" s="8" t="inlineStr">
        <is>
          <t>Nhóm ngành hàng FMCG</t>
        </is>
      </c>
      <c r="C10" s="8" t="inlineStr">
        <is>
          <t>Giá trị 31/12/2026</t>
        </is>
      </c>
      <c r="D10" s="8" t="inlineStr">
        <is>
          <t>Tỷ trọng (%)</t>
        </is>
      </c>
      <c r="E10" s="8" t="inlineStr">
        <is>
          <t>Giá trị 01/01/2026</t>
        </is>
      </c>
      <c r="F10" s="8" t="inlineStr">
        <is>
          <t>Vòng quay (ngày)</t>
        </is>
      </c>
    </row>
    <row r="11" ht="22" customHeight="1">
      <c r="A11" s="13" t="n">
        <v>1</v>
      </c>
      <c r="B11" s="14" t="inlineStr">
        <is>
          <t>Thực phẩm tươi sống &amp; Chế biến sẵn (Fresh Food)</t>
        </is>
      </c>
      <c r="C11" s="15" t="n">
        <v>4250000000</v>
      </c>
      <c r="D11" s="16">
        <f>C11/$C$15</f>
        <v/>
      </c>
      <c r="E11" s="15" t="n">
        <v>3600000000</v>
      </c>
      <c r="F11" s="13" t="inlineStr">
        <is>
          <t>12 ngày</t>
        </is>
      </c>
    </row>
    <row r="12" ht="22" customHeight="1">
      <c r="A12" s="13" t="n">
        <v>2</v>
      </c>
      <c r="B12" s="14" t="inlineStr">
        <is>
          <t>Hàng bách hóa tiêu dùng &amp; Đồ uống đóng gói (Grocery)</t>
        </is>
      </c>
      <c r="C12" s="15" t="n">
        <v>5820000000</v>
      </c>
      <c r="D12" s="16">
        <f>C12/$C$15</f>
        <v/>
      </c>
      <c r="E12" s="15" t="n">
        <v>5100000000</v>
      </c>
      <c r="F12" s="13" t="inlineStr">
        <is>
          <t>38 ngày</t>
        </is>
      </c>
    </row>
    <row r="13" ht="22" customHeight="1">
      <c r="A13" s="13" t="n">
        <v>3</v>
      </c>
      <c r="B13" s="14" t="inlineStr">
        <is>
          <t>Hóa mỹ phẩm &amp; Chăm sóc cá nhân (Personal Care)</t>
        </is>
      </c>
      <c r="C13" s="15" t="n">
        <v>2650000000</v>
      </c>
      <c r="D13" s="16">
        <f>C13/$C$15</f>
        <v/>
      </c>
      <c r="E13" s="15" t="n">
        <v>2300000000</v>
      </c>
      <c r="F13" s="13" t="inlineStr">
        <is>
          <t>55 ngày</t>
        </is>
      </c>
    </row>
    <row r="14" ht="22" customHeight="1">
      <c r="A14" s="13" t="n">
        <v>4</v>
      </c>
      <c r="B14" s="14" t="inlineStr">
        <is>
          <t>Đồ gia dụng tiện ích &amp; Thiết bị gia đình</t>
        </is>
      </c>
      <c r="C14" s="15" t="n">
        <v>1930000000</v>
      </c>
      <c r="D14" s="16">
        <f>C14/$C$15</f>
        <v/>
      </c>
      <c r="E14" s="15" t="n">
        <v>1800000000</v>
      </c>
      <c r="F14" s="13" t="inlineStr">
        <is>
          <t>75 ngày</t>
        </is>
      </c>
    </row>
    <row r="15" ht="24" customHeight="1">
      <c r="A15" s="36" t="inlineStr">
        <is>
          <t>TỔNG CỘNG HÀNG TỒN KHO</t>
        </is>
      </c>
      <c r="B15" s="44" t="n"/>
      <c r="C15" s="37">
        <f>SUM(C11:C14)</f>
        <v/>
      </c>
      <c r="D15" s="38">
        <f>SUM(D11:D14)</f>
        <v/>
      </c>
      <c r="E15" s="37">
        <f>SUM(E11:E14)</f>
        <v/>
      </c>
      <c r="F15" s="39" t="inlineStr">
        <is>
          <t>Bình quân 72 ngày</t>
        </is>
      </c>
    </row>
    <row r="17" ht="26" customHeight="1">
      <c r="A17" s="4" t="inlineStr">
        <is>
          <t>2. PHẢI TRẢ NGƯỜI BÁN NGẮN HẠN &amp; KỲ HẠN CÔNG NỢ (Thuyết minh V.09)</t>
        </is>
      </c>
    </row>
    <row r="18" ht="28" customHeight="1">
      <c r="A18" s="8" t="inlineStr">
        <is>
          <t>Mã NCC</t>
        </is>
      </c>
      <c r="B18" s="8" t="inlineStr">
        <is>
          <t>Nhà cung cấp thực phẩm / Hàng hóa</t>
        </is>
      </c>
      <c r="C18" s="8" t="inlineStr">
        <is>
          <t>Số dư nợ 31/12/2026</t>
        </is>
      </c>
      <c r="D18" s="8" t="inlineStr">
        <is>
          <t>Kỳ hạn công nợ</t>
        </is>
      </c>
      <c r="E18" s="8" t="inlineStr">
        <is>
          <t>Chiết khấu thương mại</t>
        </is>
      </c>
      <c r="F18" s="8" t="inlineStr">
        <is>
          <t>Tình trạng thanh toán</t>
        </is>
      </c>
    </row>
    <row r="19" ht="22" customHeight="1">
      <c r="A19" s="13" t="inlineStr">
        <is>
          <t>NCC01</t>
        </is>
      </c>
      <c r="B19" s="14" t="inlineStr">
        <is>
          <t>Công ty CP Sữa Việt Nam (Vinamilk)</t>
        </is>
      </c>
      <c r="C19" s="15" t="n">
        <v>2850000000</v>
      </c>
      <c r="D19" s="13" t="inlineStr">
        <is>
          <t>45 ngày</t>
        </is>
      </c>
      <c r="E19" s="14" t="inlineStr">
        <is>
          <t>2,5% nếu trả trong 15 ngày</t>
        </is>
      </c>
      <c r="F19" s="13" t="inlineStr">
        <is>
          <t>Trong hạn chuẩn</t>
        </is>
      </c>
    </row>
    <row r="20" ht="22" customHeight="1">
      <c r="A20" s="13" t="inlineStr">
        <is>
          <t>NCC02</t>
        </is>
      </c>
      <c r="B20" s="14" t="inlineStr">
        <is>
          <t>Tập đoàn Masan Consumer (Gia vị &amp; Mì ăn liền)</t>
        </is>
      </c>
      <c r="C20" s="15" t="n">
        <v>2340000000</v>
      </c>
      <c r="D20" s="13" t="inlineStr">
        <is>
          <t>45 ngày</t>
        </is>
      </c>
      <c r="E20" s="14" t="inlineStr">
        <is>
          <t>2,0% theo doanh số quý</t>
        </is>
      </c>
      <c r="F20" s="13" t="inlineStr">
        <is>
          <t>Trong hạn chuẩn</t>
        </is>
      </c>
    </row>
    <row r="21" ht="22" customHeight="1">
      <c r="A21" s="13" t="inlineStr">
        <is>
          <t>NCC03</t>
        </is>
      </c>
      <c r="B21" s="14" t="inlineStr">
        <is>
          <t>Công ty TNHH Unilever Việt Nam</t>
        </is>
      </c>
      <c r="C21" s="15" t="n">
        <v>1860000000</v>
      </c>
      <c r="D21" s="13" t="inlineStr">
        <is>
          <t>60 ngày</t>
        </is>
      </c>
      <c r="E21" s="14" t="inlineStr">
        <is>
          <t>3,0% chiết khấu kệ hàng</t>
        </is>
      </c>
      <c r="F21" s="13" t="inlineStr">
        <is>
          <t>Trong hạn chuẩn</t>
        </is>
      </c>
    </row>
    <row r="22" ht="22" customHeight="1">
      <c r="A22" s="13" t="inlineStr">
        <is>
          <t>NCC04</t>
        </is>
      </c>
      <c r="B22" s="14" t="inlineStr">
        <is>
          <t>Công ty CP Chăn nuôi C.P. Việt Nam (Thịt tươi)</t>
        </is>
      </c>
      <c r="C22" s="15" t="n">
        <v>1450000000</v>
      </c>
      <c r="D22" s="13" t="inlineStr">
        <is>
          <t>30 ngày</t>
        </is>
      </c>
      <c r="E22" s="14" t="inlineStr">
        <is>
          <t>1,5% chiết khấu sản lượng</t>
        </is>
      </c>
      <c r="F22" s="13" t="inlineStr">
        <is>
          <t>Trong hạn chuẩn</t>
        </is>
      </c>
    </row>
    <row r="23" ht="22" customHeight="1">
      <c r="A23" s="13" t="inlineStr">
        <is>
          <t>NCC05</t>
        </is>
      </c>
      <c r="B23" s="14" t="inlineStr">
        <is>
          <t>Các nhà cung cấp nông sản, hàng gia dụng khác (86 NCC)</t>
        </is>
      </c>
      <c r="C23" s="15" t="n">
        <v>1350000000</v>
      </c>
      <c r="D23" s="13" t="inlineStr">
        <is>
          <t>30 - 45 ngày</t>
        </is>
      </c>
      <c r="E23" s="14" t="inlineStr">
        <is>
          <t>1,0% - 2,0%</t>
        </is>
      </c>
      <c r="F23" s="13" t="inlineStr">
        <is>
          <t>Trong hạn chuẩn</t>
        </is>
      </c>
    </row>
    <row r="24" ht="24" customHeight="1">
      <c r="A24" s="36" t="inlineStr">
        <is>
          <t>TỔNG CỘNG PHẢI TRẢ NGƯỜI BÁN</t>
        </is>
      </c>
      <c r="B24" s="44" t="n"/>
      <c r="C24" s="37">
        <f>SUM(C19:C23)</f>
        <v/>
      </c>
      <c r="D24" s="39" t="inlineStr">
        <is>
          <t>Bình quân 45 ngày</t>
        </is>
      </c>
      <c r="E24" s="36" t="n"/>
      <c r="F24" s="36" t="n"/>
    </row>
    <row r="26" ht="26" customHeight="1">
      <c r="A26" s="4" t="inlineStr">
        <is>
          <t>3. DOANH THU THUẦN THEO KÊNH BÁN LẺ &amp; ONLINE (Thuyết minh VI.01)</t>
        </is>
      </c>
    </row>
    <row r="27" ht="28" customHeight="1">
      <c r="A27" s="8" t="inlineStr">
        <is>
          <t>STT</t>
        </is>
      </c>
      <c r="B27" s="8" t="inlineStr">
        <is>
          <t>Kênh bán hàng &amp; Dịch vụ</t>
        </is>
      </c>
      <c r="C27" s="8" t="inlineStr">
        <is>
          <t>Doanh thu năm 2026</t>
        </is>
      </c>
      <c r="D27" s="8" t="inlineStr">
        <is>
          <t>Tỷ trọng (%)</t>
        </is>
      </c>
      <c r="E27" s="8" t="inlineStr">
        <is>
          <t>Doanh thu năm 2025</t>
        </is>
      </c>
      <c r="F27" s="8" t="inlineStr">
        <is>
          <t>Tăng trưởng</t>
        </is>
      </c>
    </row>
    <row r="28" ht="22" customHeight="1">
      <c r="A28" s="13" t="n">
        <v>1</v>
      </c>
      <c r="B28" s="14" t="inlineStr">
        <is>
          <t>Kênh Siêu thị trực tiếp (In-store 28 cửa hàng)</t>
        </is>
      </c>
      <c r="C28" s="15" t="n">
        <v>64875000000</v>
      </c>
      <c r="D28" s="16">
        <f>C28/$C$31</f>
        <v/>
      </c>
      <c r="E28" s="15" t="n">
        <v>56784000000</v>
      </c>
      <c r="F28" s="16">
        <f>(C28-E28)/E28</f>
        <v/>
      </c>
    </row>
    <row r="29" ht="22" customHeight="1">
      <c r="A29" s="13" t="n">
        <v>2</v>
      </c>
      <c r="B29" s="14" t="inlineStr">
        <is>
          <t>Kênh Giao hàng hỏa tốc App VietMart &amp; Zalo Mini App</t>
        </is>
      </c>
      <c r="C29" s="15" t="n">
        <v>14705000000</v>
      </c>
      <c r="D29" s="16">
        <f>C29/$C$31</f>
        <v/>
      </c>
      <c r="E29" s="15" t="n">
        <v>10920000000</v>
      </c>
      <c r="F29" s="16">
        <f>(C29-E29)/E29</f>
        <v/>
      </c>
    </row>
    <row r="30" ht="22" customHeight="1">
      <c r="A30" s="13" t="n">
        <v>3</v>
      </c>
      <c r="B30" s="14" t="inlineStr">
        <is>
          <t>Kênh B2B Cung ứng suất ăn công nghiệp &amp; Trường học</t>
        </is>
      </c>
      <c r="C30" s="15" t="n">
        <v>6920000000</v>
      </c>
      <c r="D30" s="16">
        <f>C30/$C$31</f>
        <v/>
      </c>
      <c r="E30" s="15" t="n">
        <v>5096000000</v>
      </c>
      <c r="F30" s="16">
        <f>(C30-E30)/E30</f>
        <v/>
      </c>
    </row>
    <row r="31" ht="25" customHeight="1">
      <c r="A31" s="36" t="inlineStr">
        <is>
          <t>TỔNG CỘNG DOANH THU THUẦN</t>
        </is>
      </c>
      <c r="B31" s="44" t="n"/>
      <c r="C31" s="37">
        <f>SUM(C28:C30)</f>
        <v/>
      </c>
      <c r="D31" s="38">
        <f>SUM(D28:D30)</f>
        <v/>
      </c>
      <c r="E31" s="37">
        <f>SUM(E28:E30)</f>
        <v/>
      </c>
      <c r="F31" s="38">
        <f>(C31-E31)/E31</f>
        <v/>
      </c>
    </row>
  </sheetData>
  <mergeCells count="11">
    <mergeCell ref="A24:B24"/>
    <mergeCell ref="A15:B15"/>
    <mergeCell ref="A1:C1"/>
    <mergeCell ref="A9:F9"/>
    <mergeCell ref="A5:E5"/>
    <mergeCell ref="A3:C3"/>
    <mergeCell ref="A17:F17"/>
    <mergeCell ref="A26:F26"/>
    <mergeCell ref="A6:E6"/>
    <mergeCell ref="A31:B3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57" customWidth="1" min="2" max="2"/>
    <col width="49" customWidth="1" min="3" max="3"/>
    <col width="126" customWidth="1" min="4" max="4"/>
    <col width="126" customWidth="1" min="5" max="5"/>
    <col width="27" customWidth="1" min="6" max="6"/>
    <col width="53" customWidth="1" min="7" max="7"/>
  </cols>
  <sheetData>
    <row r="1">
      <c r="A1" s="18" t="inlineStr">
        <is>
          <t>CÔNG TY CỔ PHẦN BÁCH HÓA VIỆT</t>
        </is>
      </c>
      <c r="E1" s="19" t="inlineStr">
        <is>
          <t>Mẫu số QT - 02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PHÂN TÍCH CHỈ SỐ TÀI CHÍNH &amp; MÔ HÌNH DUPONT NGÀNH BÁN LẺ</t>
        </is>
      </c>
    </row>
    <row r="6" ht="20" customHeight="1">
      <c r="A6" s="23" t="inlineStr">
        <is>
          <t>Giai đoạn 2025 - 2026</t>
        </is>
      </c>
    </row>
    <row r="7" ht="18" customHeight="1">
      <c r="E7" s="24" t="inlineStr">
        <is>
          <t>Đơn vị tính: Tỷ lệ &amp; Lần</t>
        </is>
      </c>
    </row>
    <row r="8" ht="28" customHeight="1">
      <c r="A8" s="8" t="inlineStr">
        <is>
          <t>STT</t>
        </is>
      </c>
      <c r="B8" s="8" t="inlineStr">
        <is>
          <t>Nhóm chỉ tiêu / Chỉ số tài chính</t>
        </is>
      </c>
      <c r="C8" s="8" t="inlineStr">
        <is>
          <t>Công thức tính</t>
        </is>
      </c>
      <c r="D8" s="8" t="inlineStr">
        <is>
          <t>Năm 2026</t>
        </is>
      </c>
      <c r="E8" s="8" t="inlineStr">
        <is>
          <t>Năm 2025</t>
        </is>
      </c>
      <c r="F8" s="8" t="inlineStr">
        <is>
          <t>Chuẩn ngành Bán lẻ FMCG</t>
        </is>
      </c>
      <c r="G8" s="8" t="inlineStr">
        <is>
          <t>Đánh giá &amp; Khuyến nghị</t>
        </is>
      </c>
    </row>
    <row r="9" ht="26" customHeight="1">
      <c r="A9" s="25" t="inlineStr">
        <is>
          <t>I</t>
        </is>
      </c>
      <c r="B9" s="26" t="inlineStr">
        <is>
          <t>NHÓM CHỈ SỐ KHẢ NĂNG THANH TOÁN (LIQUIDITY)</t>
        </is>
      </c>
      <c r="C9" s="26" t="inlineStr"/>
      <c r="D9" s="40" t="n"/>
      <c r="E9" s="40" t="n"/>
      <c r="F9" s="25" t="n"/>
      <c r="G9" s="26" t="n"/>
    </row>
    <row r="10" ht="24" customHeight="1">
      <c r="A10" s="9" t="inlineStr">
        <is>
          <t>1</t>
        </is>
      </c>
      <c r="B10" s="10" t="inlineStr">
        <is>
          <t>Hệ số thanh toán hiện hành (Current Ratio)</t>
        </is>
      </c>
      <c r="C10" s="10" t="inlineStr">
        <is>
          <t>TS ngắn hạn / Nợ ngắn hạn</t>
        </is>
      </c>
      <c r="D10" s="17">
        <f>'2. Bang Can Doi Ke Toan'!D9/'2. Bang Can Doi Ke Toan'!D32</f>
        <v/>
      </c>
      <c r="E10" s="17">
        <f>'2. Bang Can Doi Ke Toan'!E9/'2. Bang Can Doi Ke Toan'!E32</f>
        <v/>
      </c>
      <c r="F10" s="9" t="inlineStr">
        <is>
          <t>1.1 - 1.4</t>
        </is>
      </c>
      <c r="G10" s="10" t="inlineStr">
        <is>
          <t>1.28 lần; đạt chuẩn an toàn ngành bán lẻ</t>
        </is>
      </c>
    </row>
    <row r="11" ht="24" customHeight="1">
      <c r="A11" s="13" t="inlineStr">
        <is>
          <t>2</t>
        </is>
      </c>
      <c r="B11" s="14" t="inlineStr">
        <is>
          <t>Hệ số thanh toán nhanh (Quick Ratio)</t>
        </is>
      </c>
      <c r="C11" s="14" t="inlineStr">
        <is>
          <t>(Tiền + ĐT ngắn hạn + Phải thu) / Nợ ngắn hạn</t>
        </is>
      </c>
      <c r="D11" s="41">
        <f>('2. Bang Can Doi Ke Toan'!D10+'2. Bang Can Doi Ke Toan'!D13+'2. Bang Can Doi Ke Toan'!D14)/'2. Bang Can Doi Ke Toan'!D32</f>
        <v/>
      </c>
      <c r="E11" s="41">
        <f>('2. Bang Can Doi Ke Toan'!E10+'2. Bang Can Doi Ke Toan'!E13+'2. Bang Can Doi Ke Toan'!E14)/'2. Bang Can Doi Ke Toan'!E32</f>
        <v/>
      </c>
      <c r="F11" s="13" t="inlineStr">
        <is>
          <t>0.4 - 0.7</t>
        </is>
      </c>
      <c r="G11" s="14" t="inlineStr">
        <is>
          <t>0.54 lần; phù hợp do tồn kho chiếm 57% TSNH</t>
        </is>
      </c>
    </row>
    <row r="12" ht="24" customHeight="1">
      <c r="A12" s="13" t="inlineStr">
        <is>
          <t>3</t>
        </is>
      </c>
      <c r="B12" s="14" t="inlineStr">
        <is>
          <t>Hệ số thanh toán tức thời (Cash Ratio)</t>
        </is>
      </c>
      <c r="C12" s="14" t="inlineStr">
        <is>
          <t>Tiền và tương đương tiền / Nợ ngắn hạn</t>
        </is>
      </c>
      <c r="D12" s="41">
        <f>'2. Bang Can Doi Ke Toan'!D10/'2. Bang Can Doi Ke Toan'!D32</f>
        <v/>
      </c>
      <c r="E12" s="41">
        <f>'2. Bang Can Doi Ke Toan'!E10/'2. Bang Can Doi Ke Toan'!E32</f>
        <v/>
      </c>
      <c r="F12" s="13" t="inlineStr">
        <is>
          <t>0.15 - 0.30</t>
        </is>
      </c>
      <c r="G12" s="14" t="inlineStr">
        <is>
          <t>0.24 lần; dòng tiền mặt từ chuỗi bán lẻ ổn định</t>
        </is>
      </c>
    </row>
    <row r="13" ht="26" customHeight="1">
      <c r="A13" s="25" t="inlineStr">
        <is>
          <t>II</t>
        </is>
      </c>
      <c r="B13" s="26" t="inlineStr">
        <is>
          <t>NHÓM CHỈ SỐ CƠ CẤU VỐN &amp; ĐÒN BẨY (LEVERAGE)</t>
        </is>
      </c>
      <c r="C13" s="26" t="inlineStr"/>
      <c r="D13" s="40" t="n"/>
      <c r="E13" s="40" t="n"/>
      <c r="F13" s="25" t="n"/>
      <c r="G13" s="26" t="n"/>
    </row>
    <row r="14" ht="24" customHeight="1">
      <c r="A14" s="13" t="inlineStr">
        <is>
          <t>4</t>
        </is>
      </c>
      <c r="B14" s="14" t="inlineStr">
        <is>
          <t>Hệ số Nợ trên Tổng tài sản (Debt/Assets)</t>
        </is>
      </c>
      <c r="C14" s="14" t="inlineStr">
        <is>
          <t>Tổng nợ phải trả / Tổng tài sản</t>
        </is>
      </c>
      <c r="D14" s="16">
        <f>'2. Bang Can Doi Ke Toan'!D31/'2. Bang Can Doi Ke Toan'!D30</f>
        <v/>
      </c>
      <c r="E14" s="16">
        <f>'2. Bang Can Doi Ke Toan'!E31/'2. Bang Can Doi Ke Toan'!E30</f>
        <v/>
      </c>
      <c r="F14" s="13" t="inlineStr">
        <is>
          <t>55% - 70%</t>
        </is>
      </c>
      <c r="G14" s="14" t="inlineStr">
        <is>
          <t>61.5%; bình thường do chiếm dụng vốn nhà cung cấp</t>
        </is>
      </c>
    </row>
    <row r="15" ht="24" customHeight="1">
      <c r="A15" s="13" t="inlineStr">
        <is>
          <t>5</t>
        </is>
      </c>
      <c r="B15" s="14" t="inlineStr">
        <is>
          <t>Hệ số Nợ trên Vốn chủ sở hữu (D/E)</t>
        </is>
      </c>
      <c r="C15" s="14" t="inlineStr">
        <is>
          <t>Tổng nợ phải trả / Vốn CSH</t>
        </is>
      </c>
      <c r="D15" s="16">
        <f>'2. Bang Can Doi Ke Toan'!D31/'2. Bang Can Doi Ke Toan'!D39</f>
        <v/>
      </c>
      <c r="E15" s="16">
        <f>'2. Bang Can Doi Ke Toan'!E31/'2. Bang Can Doi Ke Toan'!E39</f>
        <v/>
      </c>
      <c r="F15" s="13" t="inlineStr">
        <is>
          <t>1.5 - 2.5</t>
        </is>
      </c>
      <c r="G15" s="14" t="inlineStr">
        <is>
          <t>1.60 lần; đòn bẩy hoạt động thương mại hiệu quả</t>
        </is>
      </c>
    </row>
    <row r="16" ht="24" customHeight="1">
      <c r="A16" s="13" t="inlineStr">
        <is>
          <t>6</t>
        </is>
      </c>
      <c r="B16" s="14" t="inlineStr">
        <is>
          <t>Hệ số khả năng chi trả lãi vay (ICR)</t>
        </is>
      </c>
      <c r="C16" s="14" t="inlineStr">
        <is>
          <t>EBIT / Chi phí lãi vay</t>
        </is>
      </c>
      <c r="D16" s="42">
        <f>('3. KQKD'!D23+'3. KQKD'!D16)/'3. KQKD'!D16</f>
        <v/>
      </c>
      <c r="E16" s="42">
        <f>('3. KQKD'!E23+'3. KQKD'!E16)/'3. KQKD'!E16</f>
        <v/>
      </c>
      <c r="F16" s="13" t="inlineStr">
        <is>
          <t>&gt; 3.0 lần</t>
        </is>
      </c>
      <c r="G16" s="14" t="inlineStr">
        <is>
          <t>5.57 lần; lợi nhuận thừa khả năng trang trải lãi</t>
        </is>
      </c>
    </row>
    <row r="17" ht="26" customHeight="1">
      <c r="A17" s="25" t="inlineStr">
        <is>
          <t>III</t>
        </is>
      </c>
      <c r="B17" s="26" t="inlineStr">
        <is>
          <t>NHÓM CHỈ SỐ HIỆU QUẢ HOẠT ĐỘNG (EFFICIENCY)</t>
        </is>
      </c>
      <c r="C17" s="26" t="inlineStr"/>
      <c r="D17" s="40" t="n"/>
      <c r="E17" s="40" t="n"/>
      <c r="F17" s="25" t="n"/>
      <c r="G17" s="26" t="n"/>
    </row>
    <row r="18" ht="24" customHeight="1">
      <c r="A18" s="9" t="inlineStr">
        <is>
          <t>7</t>
        </is>
      </c>
      <c r="B18" s="10" t="inlineStr">
        <is>
          <t>Vòng quay hàng tồn kho (Inventory Turnover)</t>
        </is>
      </c>
      <c r="C18" s="10" t="inlineStr">
        <is>
          <t>Giá vốn hàng bán / Tồn kho bình quân</t>
        </is>
      </c>
      <c r="D18" s="17">
        <f>'3. KQKD'!D12/(('2. Bang Can Doi Ke Toan'!D18+'2. Bang Can Doi Ke Toan'!E18)/2)</f>
        <v/>
      </c>
      <c r="E18" s="17">
        <f>'3. KQKD'!E12/'2. Bang Can Doi Ke Toan'!E18</f>
        <v/>
      </c>
      <c r="F18" s="9" t="inlineStr">
        <is>
          <t>4.5 - 6.0</t>
        </is>
      </c>
      <c r="G18" s="10" t="inlineStr">
        <is>
          <t>5.04 vòng/năm; tốc độ giải phóng hàng hóa tốt</t>
        </is>
      </c>
    </row>
    <row r="19" ht="24" customHeight="1">
      <c r="A19" s="13" t="inlineStr">
        <is>
          <t>8</t>
        </is>
      </c>
      <c r="B19" s="14" t="inlineStr">
        <is>
          <t>Thời gian lưu kho bình quân (DSI)</t>
        </is>
      </c>
      <c r="C19" s="14" t="inlineStr">
        <is>
          <t>365 / Vòng quay hàng tồn kho</t>
        </is>
      </c>
      <c r="D19" s="43">
        <f>365/D18</f>
        <v/>
      </c>
      <c r="E19" s="43">
        <f>365/E18</f>
        <v/>
      </c>
      <c r="F19" s="13" t="inlineStr">
        <is>
          <t>60 - 80 ngày</t>
        </is>
      </c>
      <c r="G19" s="14" t="inlineStr">
        <is>
          <t>72.4 ngày; cần đẩy nhanh nhóm đồ gia dụng</t>
        </is>
      </c>
    </row>
    <row r="20" ht="24" customHeight="1">
      <c r="A20" s="13" t="inlineStr">
        <is>
          <t>9</t>
        </is>
      </c>
      <c r="B20" s="14" t="inlineStr">
        <is>
          <t>Vòng quay các khoản phải thu</t>
        </is>
      </c>
      <c r="C20" s="14" t="inlineStr">
        <is>
          <t>Doanh thu thuần / Phải thu bình quân</t>
        </is>
      </c>
      <c r="D20" s="41">
        <f>'3. KQKD'!D11/(('2. Bang Can Doi Ke Toan'!D14+'2. Bang Can Doi Ke Toan'!E14)/2)</f>
        <v/>
      </c>
      <c r="E20" s="41">
        <f>'3. KQKD'!E11/'2. Bang Can Doi Ke Toan'!E14</f>
        <v/>
      </c>
      <c r="F20" s="13" t="inlineStr">
        <is>
          <t>&gt; 20 vòng</t>
        </is>
      </c>
      <c r="G20" s="14" t="inlineStr">
        <is>
          <t>23.38 vòng/năm; thu hồi tiền B2B trong 15 ngày</t>
        </is>
      </c>
    </row>
    <row r="21" ht="24" customHeight="1">
      <c r="A21" s="13" t="inlineStr">
        <is>
          <t>10</t>
        </is>
      </c>
      <c r="B21" s="14" t="inlineStr">
        <is>
          <t>Vòng quay Tổng tài sản (Asset Turnover)</t>
        </is>
      </c>
      <c r="C21" s="14" t="inlineStr">
        <is>
          <t>Doanh thu thuần / Tổng TS bình quân</t>
        </is>
      </c>
      <c r="D21" s="41">
        <f>'3. KQKD'!D11/(('2. Bang Can Doi Ke Toan'!D30+'2. Bang Can Doi Ke Toan'!E30)/2)</f>
        <v/>
      </c>
      <c r="E21" s="41">
        <f>'3. KQKD'!E11/'2. Bang Can Doi Ke Toan'!E30</f>
        <v/>
      </c>
      <c r="F21" s="13" t="inlineStr">
        <is>
          <t>2.0 - 3.0</t>
        </is>
      </c>
      <c r="G21" s="14" t="inlineStr">
        <is>
          <t>2.40 vòng/năm; tài sản tạo doanh số vượt trội</t>
        </is>
      </c>
    </row>
    <row r="22" ht="26" customHeight="1">
      <c r="A22" s="25" t="inlineStr">
        <is>
          <t>IV</t>
        </is>
      </c>
      <c r="B22" s="26" t="inlineStr">
        <is>
          <t>NHÓM CHỈ SỐ SINH LỜI &amp; MÔ HÌNH DUPONT (PROFITABILITY)</t>
        </is>
      </c>
      <c r="C22" s="26" t="inlineStr"/>
      <c r="D22" s="40" t="n"/>
      <c r="E22" s="40" t="n"/>
      <c r="F22" s="25" t="n"/>
      <c r="G22" s="26" t="n"/>
    </row>
    <row r="23" ht="24" customHeight="1">
      <c r="A23" s="9" t="inlineStr">
        <is>
          <t>11</t>
        </is>
      </c>
      <c r="B23" s="10" t="inlineStr">
        <is>
          <t>Tỷ suất Lợi nhuận gộp (Gross Margin)</t>
        </is>
      </c>
      <c r="C23" s="10" t="inlineStr">
        <is>
          <t>Lợi nhuận gộp / Doanh thu thuần</t>
        </is>
      </c>
      <c r="D23" s="12">
        <f>'3. KQKD'!D13/'3. KQKD'!D11</f>
        <v/>
      </c>
      <c r="E23" s="12">
        <f>'3. KQKD'!E13/'3. KQKD'!E11</f>
        <v/>
      </c>
      <c r="F23" s="9" t="inlineStr">
        <is>
          <t>18% - 22%</t>
        </is>
      </c>
      <c r="G23" s="10" t="inlineStr">
        <is>
          <t>20.0%; ổn định vững chắc cho ngành FMCG</t>
        </is>
      </c>
    </row>
    <row r="24" ht="24" customHeight="1">
      <c r="A24" s="9" t="inlineStr">
        <is>
          <t>12</t>
        </is>
      </c>
      <c r="B24" s="10" t="inlineStr">
        <is>
          <t>Tỷ suất Sinh lời trên Doanh thu (ROS)</t>
        </is>
      </c>
      <c r="C24" s="10" t="inlineStr">
        <is>
          <t>Lợi nhuận sau thuế / Doanh thu thuần</t>
        </is>
      </c>
      <c r="D24" s="12">
        <f>'3. KQKD'!D26/'3. KQKD'!D11</f>
        <v/>
      </c>
      <c r="E24" s="12">
        <f>'3. KQKD'!E26/'3. KQKD'!E11</f>
        <v/>
      </c>
      <c r="F24" s="9" t="inlineStr">
        <is>
          <t>2.5% - 4.5%</t>
        </is>
      </c>
      <c r="G24" s="10" t="inlineStr">
        <is>
          <t>3.47%; biên ròng mỏng đặc trưng của bán lẻ</t>
        </is>
      </c>
    </row>
    <row r="25" ht="24" customHeight="1">
      <c r="A25" s="13" t="inlineStr">
        <is>
          <t>13</t>
        </is>
      </c>
      <c r="B25" s="14" t="inlineStr">
        <is>
          <t>Tỷ suất Sinh lời trên Tài sản (ROA)</t>
        </is>
      </c>
      <c r="C25" s="14" t="inlineStr">
        <is>
          <t>LNST / Tổng tài sản bình quân</t>
        </is>
      </c>
      <c r="D25" s="16">
        <f>'3. KQKD'!D26/(('2. Bang Can Doi Ke Toan'!D30+'2. Bang Can Doi Ke Toan'!E30)/2)</f>
        <v/>
      </c>
      <c r="E25" s="16">
        <f>'3. KQKD'!E26/'2. Bang Can Doi Ke Toan'!E30</f>
        <v/>
      </c>
      <c r="F25" s="13" t="inlineStr">
        <is>
          <t>6% - 10%</t>
        </is>
      </c>
      <c r="G25" s="14" t="inlineStr">
        <is>
          <t>8.33%; hiệu quả sinh lời trên tài sản tốt</t>
        </is>
      </c>
    </row>
    <row r="26" ht="24" customHeight="1">
      <c r="A26" s="9" t="inlineStr">
        <is>
          <t>14</t>
        </is>
      </c>
      <c r="B26" s="10" t="inlineStr">
        <is>
          <t>Tỷ suất Sinh lời trên Vốn CSH (ROE)</t>
        </is>
      </c>
      <c r="C26" s="10" t="inlineStr">
        <is>
          <t>LNST / Vốn CSH bình quân (DuPont)</t>
        </is>
      </c>
      <c r="D26" s="12">
        <f>'3. KQKD'!D26/(('2. Bang Can Doi Ke Toan'!D39+'2. Bang Can Doi Ke Toan'!E39)/2)</f>
        <v/>
      </c>
      <c r="E26" s="12">
        <f>'3. KQKD'!E26/'2. Bang Can Doi Ke Toan'!E39</f>
        <v/>
      </c>
      <c r="F26" s="9" t="inlineStr">
        <is>
          <t>18% - 25%</t>
        </is>
      </c>
      <c r="G26" s="10" t="inlineStr">
        <is>
          <t>21.51%; ROE rất cao nhờ vòng quay tài sản cao</t>
        </is>
      </c>
    </row>
    <row r="28" ht="26" customHeight="1">
      <c r="A28" s="4" t="inlineStr">
        <is>
          <t>V. KẾT LUẬN &amp; ĐẶC TRƯNG TÀI CHÍNH BÁN LẺ DÀNH CHO BÀI TẬP PHÂN TÍCH</t>
        </is>
      </c>
    </row>
    <row r="29" ht="22" customHeight="1">
      <c r="A29" s="7" t="inlineStr">
        <is>
          <t>1. Đặc trưng biên lợi nhuận mỏng nhưng ROE khủng: ROS chỉ đạt 3,47% nhưng ROE lên tới 21,51% nhờ Vòng quay Tổng tài sản đạt 2,40 vòng/năm.</t>
        </is>
      </c>
    </row>
    <row r="30" ht="22" customHeight="1">
      <c r="A30" s="7" t="inlineStr">
        <is>
          <t>2. Mô hình chiếm dụng vốn nhà cung cấp: Nợ người bán lên tới 9.850 tỷ đồng (kỳ hạn trả 45 ngày), trong khi bán lẻ thu tiền mặt ngay lập tức giúp bù đắp thanh toán nhanh.</t>
        </is>
      </c>
    </row>
    <row r="31" ht="22" customHeight="1">
      <c r="A31" s="6" t="inlineStr">
        <is>
          <t>3. Điểm khuyến nghị trọng tâm cho học viên phân tích: Cần áp dụng Mô hình DuPont (ROE = ROS x Vòng quay TS x Đòn bẩy tài chính) để giải thích sự thành công của chuỗi siêu thị!</t>
        </is>
      </c>
    </row>
  </sheetData>
  <mergeCells count="9">
    <mergeCell ref="A1:C1"/>
    <mergeCell ref="A31:G31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2026-09-09T14:16:00Z</dcterms:created>
  <dcterms:modified xmlns:dcterms="http://purl.org/dc/terms/" xmlns:xsi="http://www.w3.org/2001/XMLSchema-instance" xsi:type="dcterms:W3CDTF">2026-09-09T14:17:07Z</dcterms:modified>
</cp:coreProperties>
</file>