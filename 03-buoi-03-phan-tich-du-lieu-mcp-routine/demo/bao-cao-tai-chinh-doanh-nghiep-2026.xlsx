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Thong tin chung" sheetId="1" state="visible" r:id="rId1"/>
    <sheet xmlns:r="http://schemas.openxmlformats.org/officeDocument/2006/relationships" name="2. Bang Can Doi Ke Toan" sheetId="2" state="visible" r:id="rId2"/>
    <sheet xmlns:r="http://schemas.openxmlformats.org/officeDocument/2006/relationships" name="3. KQKD" sheetId="3" state="visible" r:id="rId3"/>
    <sheet xmlns:r="http://schemas.openxmlformats.org/officeDocument/2006/relationships" name="4. Luu Chuyen Tien Te" sheetId="4" state="visible" r:id="rId4"/>
    <sheet xmlns:r="http://schemas.openxmlformats.org/officeDocument/2006/relationships" name="5. Thuyet Minh BCTC" sheetId="5" state="visible" r:id="rId5"/>
    <sheet xmlns:r="http://schemas.openxmlformats.org/officeDocument/2006/relationships" name="6. Phan Tich Tai Chin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 lần"/>
    <numFmt numFmtId="166" formatCode="0.0"/>
  </numFmts>
  <fonts count="12">
    <font>
      <name val="Calibri"/>
      <family val="2"/>
      <color theme="1"/>
      <sz val="11"/>
      <scheme val="minor"/>
    </font>
    <font>
      <name val="Times New Roman"/>
      <b val="1"/>
      <color rgb="001F4E79"/>
      <sz val="16"/>
    </font>
    <font>
      <name val="Times New Roman"/>
      <b val="1"/>
      <color rgb="00333333"/>
      <sz val="13"/>
    </font>
    <font>
      <name val="Times New Roman"/>
      <i val="1"/>
      <color rgb="00333333"/>
      <sz val="11"/>
    </font>
    <font>
      <name val="Times New Roman"/>
      <b val="1"/>
      <color rgb="001F4E79"/>
      <sz val="11"/>
    </font>
    <font>
      <name val="Times New Roman"/>
      <b val="1"/>
      <color rgb="00000000"/>
      <sz val="11"/>
    </font>
    <font>
      <name val="Times New Roman"/>
      <color rgb="00000000"/>
      <sz val="11"/>
    </font>
    <font>
      <name val="Times New Roman"/>
      <b val="1"/>
      <color rgb="00FFFFFF"/>
      <sz val="11"/>
    </font>
    <font>
      <name val="Times New Roman"/>
      <i val="1"/>
      <color rgb="00666666"/>
      <sz val="10"/>
    </font>
    <font>
      <name val="Times New Roman"/>
      <b val="1"/>
      <color rgb="001F4E79"/>
      <sz val="14"/>
    </font>
    <font>
      <name val="Times New Roman"/>
      <i val="1"/>
      <color rgb="00555555"/>
      <sz val="10"/>
    </font>
    <font>
      <name val="Times New Roman"/>
      <b val="1"/>
      <color rgb="00C00000"/>
      <sz val="1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  <fill>
      <patternFill patternType="solid">
        <fgColor rgb="00BDD7EE"/>
        <bgColor rgb="00BDD7EE"/>
      </patternFill>
    </fill>
    <fill>
      <patternFill patternType="solid">
        <fgColor rgb="00FCE4D6"/>
        <bgColor rgb="00FCE4D6"/>
      </patternFill>
    </fill>
  </fills>
  <borders count="7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 style="thin">
        <color rgb="00D9D9D9"/>
      </left>
      <right style="thin">
        <color rgb="00D9D9D9"/>
      </right>
      <top style="medium">
        <color rgb="001F4E79"/>
      </top>
      <bottom style="double">
        <color rgb="001F4E79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2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3" fontId="6" fillId="0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2" fontId="6" fillId="0" borderId="1" applyAlignment="1" pivotButton="0" quotePrefix="0" xfId="0">
      <alignment horizontal="right" vertical="center"/>
    </xf>
    <xf numFmtId="0" fontId="0" fillId="0" borderId="4" pivotButton="0" quotePrefix="0" xfId="0"/>
    <xf numFmtId="0" fontId="0" fillId="0" borderId="5" pivotButton="0" quotePrefix="0" xfId="0"/>
    <xf numFmtId="0" fontId="6" fillId="0" borderId="1" pivotButton="0" quotePrefix="0" xfId="0"/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right" vertical="center"/>
    </xf>
    <xf numFmtId="0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3" fontId="4" fillId="2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3" fontId="5" fillId="4" borderId="1" applyAlignment="1" pivotButton="0" quotePrefix="0" xfId="0">
      <alignment horizontal="right" vertical="center"/>
    </xf>
    <xf numFmtId="0" fontId="9" fillId="5" borderId="6" applyAlignment="1" pivotButton="0" quotePrefix="0" xfId="0">
      <alignment horizontal="center" vertical="center" wrapText="1"/>
    </xf>
    <xf numFmtId="0" fontId="9" fillId="5" borderId="6" applyAlignment="1" pivotButton="0" quotePrefix="0" xfId="0">
      <alignment horizontal="left" vertical="center" wrapText="1"/>
    </xf>
    <xf numFmtId="3" fontId="9" fillId="5" borderId="6" applyAlignment="1" pivotButton="0" quotePrefix="0" xfId="0">
      <alignment horizontal="right" vertical="center"/>
    </xf>
    <xf numFmtId="0" fontId="5" fillId="0" borderId="0" pivotButton="0" quotePrefix="0" xfId="0"/>
    <xf numFmtId="3" fontId="5" fillId="0" borderId="0" applyAlignment="1" pivotButton="0" quotePrefix="0" xfId="0">
      <alignment horizontal="right" vertical="center"/>
    </xf>
    <xf numFmtId="0" fontId="5" fillId="0" borderId="6" pivotButton="0" quotePrefix="0" xfId="0"/>
    <xf numFmtId="3" fontId="5" fillId="0" borderId="6" applyAlignment="1" pivotButton="0" quotePrefix="0" xfId="0">
      <alignment horizontal="right" vertical="center"/>
    </xf>
    <xf numFmtId="3" fontId="11" fillId="6" borderId="1" applyAlignment="1" pivotButton="0" quotePrefix="0" xfId="0">
      <alignment horizontal="right" vertical="center"/>
    </xf>
    <xf numFmtId="164" fontId="5" fillId="0" borderId="6" applyAlignment="1" pivotButton="0" quotePrefix="0" xfId="0">
      <alignment horizontal="right" vertical="center"/>
    </xf>
    <xf numFmtId="0" fontId="4" fillId="2" borderId="1" applyAlignment="1" pivotButton="0" quotePrefix="0" xfId="0">
      <alignment horizontal="right" vertical="center"/>
    </xf>
    <xf numFmtId="2" fontId="5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166" fontId="6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1" workbookViewId="0">
      <selection activeCell="A1" sqref="A1"/>
    </sheetView>
  </sheetViews>
  <sheetFormatPr baseColWidth="8" defaultRowHeight="15" outlineLevelCol="0"/>
  <cols>
    <col width="7" customWidth="1" min="1" max="1"/>
    <col width="47" customWidth="1" min="2" max="2"/>
    <col width="20" customWidth="1" min="3" max="3"/>
    <col width="22" customWidth="1" min="4" max="4"/>
    <col width="23" customWidth="1" min="5" max="5"/>
    <col width="20" customWidth="1" min="6" max="6"/>
    <col width="22" customWidth="1" min="7" max="7"/>
  </cols>
  <sheetData>
    <row r="1" ht="30" customHeight="1">
      <c r="A1" s="1" t="inlineStr">
        <is>
          <t>BÁO CÁO TÀI CHÍNH NĂM 2026 (ĐÃ ĐƯỢC KIỂM TOÁN)</t>
        </is>
      </c>
    </row>
    <row r="2" ht="24" customHeight="1">
      <c r="A2" s="2" t="inlineStr">
        <is>
          <t>CÔNG TY CỔ PHẦN CÔNG NGHỆ CES (CES TECHNOLOGY JSC)</t>
        </is>
      </c>
    </row>
    <row r="3" ht="20" customHeight="1">
      <c r="A3" s="3" t="inlineStr">
        <is>
          <t>Áp dụng theo Chế độ Kế toán Doanh nghiệp - Thông tư số 200/2014/TT-BTC của Bộ Tài chính</t>
        </is>
      </c>
    </row>
    <row r="4"/>
    <row r="5" ht="25" customHeight="1">
      <c r="A5" s="4" t="inlineStr">
        <is>
          <t>I. THÔNG TIN PHÁP LÝ &amp; HỒ SƠ DOANH NGHIỆP</t>
        </is>
      </c>
    </row>
    <row r="6" ht="22" customHeight="1">
      <c r="A6" s="5" t="inlineStr">
        <is>
          <t>•</t>
        </is>
      </c>
      <c r="B6" s="6" t="inlineStr">
        <is>
          <t>Tên đầy đủ</t>
        </is>
      </c>
      <c r="D6" s="7" t="inlineStr">
        <is>
          <t>CÔNG TY CỔ PHẦN CÔNG NGHỆ CES</t>
        </is>
      </c>
    </row>
    <row r="7" ht="22" customHeight="1">
      <c r="A7" s="5" t="inlineStr">
        <is>
          <t>•</t>
        </is>
      </c>
      <c r="B7" s="6" t="inlineStr">
        <is>
          <t>Tên giao dịch quốc tế</t>
        </is>
      </c>
      <c r="D7" s="7" t="inlineStr">
        <is>
          <t>CES TECHNOLOGY JOINT STOCK COMPANY</t>
        </is>
      </c>
    </row>
    <row r="8" ht="22" customHeight="1">
      <c r="A8" s="5" t="inlineStr">
        <is>
          <t>•</t>
        </is>
      </c>
      <c r="B8" s="6" t="inlineStr">
        <is>
          <t>Mã chứng khoán / Mã số thuế</t>
        </is>
      </c>
      <c r="D8" s="7" t="inlineStr">
        <is>
          <t>0109876543 (Cấp lần đầu ngày 15/03/2021)</t>
        </is>
      </c>
    </row>
    <row r="9" ht="22" customHeight="1">
      <c r="A9" s="5" t="inlineStr">
        <is>
          <t>•</t>
        </is>
      </c>
      <c r="B9" s="6" t="inlineStr">
        <is>
          <t>Vốn điều lệ đăng ký</t>
        </is>
      </c>
      <c r="D9" s="7" t="inlineStr">
        <is>
          <t>10.000.000.000 VNĐ (Mười tỷ đồng)</t>
        </is>
      </c>
    </row>
    <row r="10" ht="22" customHeight="1">
      <c r="A10" s="5" t="inlineStr">
        <is>
          <t>•</t>
        </is>
      </c>
      <c r="B10" s="6" t="inlineStr">
        <is>
          <t>Vốn góp thực tế của CSH</t>
        </is>
      </c>
      <c r="D10" s="7" t="inlineStr">
        <is>
          <t>8.000.000.000 VNĐ (Tương ứng 800.000 cổ phần đã phát hành)</t>
        </is>
      </c>
    </row>
    <row r="11" ht="22" customHeight="1">
      <c r="A11" s="5" t="inlineStr">
        <is>
          <t>•</t>
        </is>
      </c>
      <c r="B11" s="6" t="inlineStr">
        <is>
          <t>Địa chỉ trụ sở chính</t>
        </is>
      </c>
      <c r="D11" s="7" t="inlineStr">
        <is>
          <t>Tầng 6, Tòa nhà CES Tower, Phố Duy Tân, Cầu Giấy, Hà Nội</t>
        </is>
      </c>
    </row>
    <row r="12" ht="22" customHeight="1">
      <c r="A12" s="5" t="inlineStr">
        <is>
          <t>•</t>
        </is>
      </c>
      <c r="B12" s="6" t="inlineStr">
        <is>
          <t>Ngành nghề kinh doanh chính</t>
        </is>
      </c>
      <c r="D12" s="7" t="inlineStr">
        <is>
          <t>Xuất bản phần mềm, dịch vụ CNTT, giải pháp AI Workspace, tích hợp hệ thống</t>
        </is>
      </c>
    </row>
    <row r="13" ht="22" customHeight="1">
      <c r="A13" s="5" t="inlineStr">
        <is>
          <t>•</t>
        </is>
      </c>
      <c r="B13" s="6" t="inlineStr">
        <is>
          <t>Người đại diện theo pháp luật</t>
        </is>
      </c>
      <c r="D13" s="7" t="inlineStr">
        <is>
          <t>Ông LƯU TUẤN ANH - Tổng Giám đốc</t>
        </is>
      </c>
    </row>
    <row r="14" ht="22" customHeight="1">
      <c r="A14" s="5" t="inlineStr">
        <is>
          <t>•</t>
        </is>
      </c>
      <c r="B14" s="6" t="inlineStr">
        <is>
          <t>Kế toán trưởng</t>
        </is>
      </c>
      <c r="D14" s="7" t="inlineStr">
        <is>
          <t>Bà TRẦN THỊ HỒNG NHUNG</t>
        </is>
      </c>
    </row>
    <row r="15" ht="22" customHeight="1">
      <c r="A15" s="5" t="inlineStr">
        <is>
          <t>•</t>
        </is>
      </c>
      <c r="B15" s="6" t="inlineStr">
        <is>
          <t>Đơn vị kiểm toán độc lập</t>
        </is>
      </c>
      <c r="D15" s="7" t="inlineStr">
        <is>
          <t>Công ty TNHH Kiểm toán &amp; Tư vấn Tài chính Quốc tế (A&amp;C Audit)</t>
        </is>
      </c>
    </row>
    <row r="16" ht="22" customHeight="1">
      <c r="A16" s="5" t="inlineStr">
        <is>
          <t>•</t>
        </is>
      </c>
      <c r="B16" s="6" t="inlineStr">
        <is>
          <t>Ý kiến kiểm toán viên</t>
        </is>
      </c>
      <c r="D16" s="7" t="inlineStr">
        <is>
          <t>Chấp nhận toàn phần (Unqualified Opinion) - BCTC phản ánh trung thực và hợp lý</t>
        </is>
      </c>
    </row>
    <row r="17"/>
    <row r="18" ht="25" customHeight="1">
      <c r="A18" s="4" t="inlineStr">
        <is>
          <t>II. TỔNG HỢP CÁC CHỈ SỐ TÀI CHÍNH CỐT LÕI (NĂM 2026 SO VỚI 2025)</t>
        </is>
      </c>
    </row>
    <row r="19" ht="28" customHeight="1">
      <c r="A19" s="8" t="inlineStr">
        <is>
          <t>STT</t>
        </is>
      </c>
      <c r="B19" s="8" t="inlineStr">
        <is>
          <t>Chỉ tiêu tài chính</t>
        </is>
      </c>
      <c r="C19" s="8" t="inlineStr">
        <is>
          <t>ĐVT</t>
        </is>
      </c>
      <c r="D19" s="8" t="inlineStr">
        <is>
          <t>Năm 2026 (Kỳ này)</t>
        </is>
      </c>
      <c r="E19" s="8" t="inlineStr">
        <is>
          <t>Năm 2025 (Kỳ trước)</t>
        </is>
      </c>
      <c r="F19" s="8" t="inlineStr">
        <is>
          <t>Chênh lệch (+/-)</t>
        </is>
      </c>
      <c r="G19" s="8" t="inlineStr">
        <is>
          <t>Tỷ lệ tăng trưởng</t>
        </is>
      </c>
    </row>
    <row r="20" ht="22" customHeight="1">
      <c r="A20" s="9" t="n">
        <v>1</v>
      </c>
      <c r="B20" s="10" t="inlineStr">
        <is>
          <t>Tổng Doanh thu thuần</t>
        </is>
      </c>
      <c r="C20" s="9" t="inlineStr">
        <is>
          <t>VNĐ</t>
        </is>
      </c>
      <c r="D20" s="11" t="n">
        <v>12545000000</v>
      </c>
      <c r="E20" s="11" t="n">
        <v>10985000000</v>
      </c>
      <c r="F20" s="11">
        <f>D20-E20</f>
        <v/>
      </c>
      <c r="G20" s="12">
        <f>F20/E20</f>
        <v/>
      </c>
    </row>
    <row r="21" ht="22" customHeight="1">
      <c r="A21" s="13" t="n">
        <v>2</v>
      </c>
      <c r="B21" s="14" t="inlineStr">
        <is>
          <t>Lợi nhuận gộp</t>
        </is>
      </c>
      <c r="C21" s="13" t="inlineStr">
        <is>
          <t>VNĐ</t>
        </is>
      </c>
      <c r="D21" s="15" t="n">
        <v>5645250000</v>
      </c>
      <c r="E21" s="15" t="n">
        <v>4833400000</v>
      </c>
      <c r="F21" s="15">
        <f>D21-E21</f>
        <v/>
      </c>
      <c r="G21" s="16">
        <f>F21/E21</f>
        <v/>
      </c>
    </row>
    <row r="22" ht="22" customHeight="1">
      <c r="A22" s="13" t="n">
        <v>3</v>
      </c>
      <c r="B22" s="14" t="inlineStr">
        <is>
          <t>Lợi nhuận kế toán trước thuế (LNTT)</t>
        </is>
      </c>
      <c r="C22" s="13" t="inlineStr">
        <is>
          <t>VNĐ</t>
        </is>
      </c>
      <c r="D22" s="15" t="n">
        <v>1885000000</v>
      </c>
      <c r="E22" s="15" t="n">
        <v>1520000000</v>
      </c>
      <c r="F22" s="15">
        <f>D22-E22</f>
        <v/>
      </c>
      <c r="G22" s="16">
        <f>F22/E22</f>
        <v/>
      </c>
    </row>
    <row r="23" ht="22" customHeight="1">
      <c r="A23" s="9" t="n">
        <v>4</v>
      </c>
      <c r="B23" s="10" t="inlineStr">
        <is>
          <t>Lợi nhuận sau thuế TNDN (LNST)</t>
        </is>
      </c>
      <c r="C23" s="9" t="inlineStr">
        <is>
          <t>VNĐ</t>
        </is>
      </c>
      <c r="D23" s="11" t="n">
        <v>1508000000</v>
      </c>
      <c r="E23" s="11" t="n">
        <v>1216000000</v>
      </c>
      <c r="F23" s="11">
        <f>D23-E23</f>
        <v/>
      </c>
      <c r="G23" s="12">
        <f>F23/E23</f>
        <v/>
      </c>
    </row>
    <row r="24" ht="22" customHeight="1">
      <c r="A24" s="9" t="n">
        <v>5</v>
      </c>
      <c r="B24" s="10" t="inlineStr">
        <is>
          <t>Tổng tài sản</t>
        </is>
      </c>
      <c r="C24" s="9" t="inlineStr">
        <is>
          <t>VNĐ</t>
        </is>
      </c>
      <c r="D24" s="11" t="n">
        <v>11950000000</v>
      </c>
      <c r="E24" s="11" t="n">
        <v>10240000000</v>
      </c>
      <c r="F24" s="11">
        <f>D24-E24</f>
        <v/>
      </c>
      <c r="G24" s="12">
        <f>F24/E24</f>
        <v/>
      </c>
    </row>
    <row r="25" ht="22" customHeight="1">
      <c r="A25" s="9" t="n">
        <v>6</v>
      </c>
      <c r="B25" s="10" t="inlineStr">
        <is>
          <t>Vốn chủ sở hữu</t>
        </is>
      </c>
      <c r="C25" s="9" t="inlineStr">
        <is>
          <t>VNĐ</t>
        </is>
      </c>
      <c r="D25" s="11" t="n">
        <v>9513000000</v>
      </c>
      <c r="E25" s="11" t="n">
        <v>8005000000</v>
      </c>
      <c r="F25" s="11">
        <f>D25-E25</f>
        <v/>
      </c>
      <c r="G25" s="12">
        <f>F25/E25</f>
        <v/>
      </c>
    </row>
    <row r="26" ht="22" customHeight="1">
      <c r="A26" s="13" t="n">
        <v>7</v>
      </c>
      <c r="B26" s="14" t="inlineStr">
        <is>
          <t>Tiền và tương đương tiền cuối kỳ</t>
        </is>
      </c>
      <c r="C26" s="13" t="inlineStr">
        <is>
          <t>VNĐ</t>
        </is>
      </c>
      <c r="D26" s="15" t="n">
        <v>2450000000</v>
      </c>
      <c r="E26" s="15" t="n">
        <v>1850000000</v>
      </c>
      <c r="F26" s="15">
        <f>D26-E26</f>
        <v/>
      </c>
      <c r="G26" s="16">
        <f>F26/E26</f>
        <v/>
      </c>
    </row>
    <row r="27" ht="22" customHeight="1">
      <c r="A27" s="9" t="n">
        <v>8</v>
      </c>
      <c r="B27" s="10" t="inlineStr">
        <is>
          <t>Tỷ suất LNST / Doanh thu thuần (ROS)</t>
        </is>
      </c>
      <c r="C27" s="9" t="inlineStr">
        <is>
          <t>%</t>
        </is>
      </c>
      <c r="D27" s="12" t="n">
        <v>0.1202</v>
      </c>
      <c r="E27" s="12" t="n">
        <v>0.1107</v>
      </c>
      <c r="F27" s="12">
        <f>D27-E27</f>
        <v/>
      </c>
      <c r="G27" s="12">
        <f>F27/E27</f>
        <v/>
      </c>
    </row>
    <row r="28" ht="22" customHeight="1">
      <c r="A28" s="9" t="n">
        <v>9</v>
      </c>
      <c r="B28" s="10" t="inlineStr">
        <is>
          <t>Tỷ suất LNST / Vốn CSH bình quân (ROE)</t>
        </is>
      </c>
      <c r="C28" s="9" t="inlineStr">
        <is>
          <t>%</t>
        </is>
      </c>
      <c r="D28" s="12" t="n">
        <v>0.1722</v>
      </c>
      <c r="E28" s="12" t="n">
        <v>0.161</v>
      </c>
      <c r="F28" s="12">
        <f>D28-E28</f>
        <v/>
      </c>
      <c r="G28" s="12">
        <f>F28/E28</f>
        <v/>
      </c>
    </row>
    <row r="29" ht="22" customHeight="1">
      <c r="A29" s="13" t="n">
        <v>10</v>
      </c>
      <c r="B29" s="14" t="inlineStr">
        <is>
          <t>Tỷ suất LNST / Tổng tài sản bình quân (ROA)</t>
        </is>
      </c>
      <c r="C29" s="13" t="inlineStr">
        <is>
          <t>%</t>
        </is>
      </c>
      <c r="D29" s="16" t="n">
        <v>0.1359</v>
      </c>
      <c r="E29" s="16" t="n">
        <v>0.128</v>
      </c>
      <c r="F29" s="16">
        <f>D29-E29</f>
        <v/>
      </c>
      <c r="G29" s="16">
        <f>F29/E29</f>
        <v/>
      </c>
    </row>
    <row r="30" ht="22" customHeight="1">
      <c r="A30" s="13" t="n">
        <v>11</v>
      </c>
      <c r="B30" s="14" t="inlineStr">
        <is>
          <t>Hệ số khả năng thanh toán hiện hành</t>
        </is>
      </c>
      <c r="C30" s="13" t="inlineStr">
        <is>
          <t>Lần</t>
        </is>
      </c>
      <c r="D30" s="17" t="n">
        <v>4.9</v>
      </c>
      <c r="E30" s="17" t="n">
        <v>4.25</v>
      </c>
      <c r="F30" s="17">
        <f>D30-E30</f>
        <v/>
      </c>
      <c r="G30" s="16">
        <f>F30/E30</f>
        <v/>
      </c>
    </row>
    <row r="31" ht="22" customHeight="1">
      <c r="A31" s="13" t="n">
        <v>12</v>
      </c>
      <c r="B31" s="14" t="inlineStr">
        <is>
          <t>Hệ số Nợ phải trả / Tổng tài sản</t>
        </is>
      </c>
      <c r="C31" s="13" t="inlineStr">
        <is>
          <t>%</t>
        </is>
      </c>
      <c r="D31" s="16" t="n">
        <v>0.2039</v>
      </c>
      <c r="E31" s="16" t="n">
        <v>0.2183</v>
      </c>
      <c r="F31" s="16">
        <f>D31-E31</f>
        <v/>
      </c>
      <c r="G31" s="16">
        <f>F31/E31</f>
        <v/>
      </c>
    </row>
    <row r="32"/>
    <row r="33" ht="25" customHeight="1">
      <c r="A33" s="4" t="inlineStr">
        <is>
          <t>III. MỤC LỤC BỘ BÁO CÁO TÀI CHÍNH CHI TIẾT</t>
        </is>
      </c>
    </row>
    <row r="34" ht="28" customHeight="1">
      <c r="A34" s="8" t="inlineStr">
        <is>
          <t>STT</t>
        </is>
      </c>
      <c r="B34" s="8" t="inlineStr">
        <is>
          <t>Tên Sheet</t>
        </is>
      </c>
      <c r="C34" s="8" t="inlineStr">
        <is>
          <t>Mã biểu mẫu</t>
        </is>
      </c>
      <c r="D34" s="8" t="inlineStr">
        <is>
          <t>Nội dung phản ánh</t>
        </is>
      </c>
      <c r="E34" s="18" t="n"/>
      <c r="F34" s="19" t="n"/>
      <c r="G34" s="8" t="inlineStr">
        <is>
          <t>Trạng thái</t>
        </is>
      </c>
    </row>
    <row r="35" ht="22" customHeight="1">
      <c r="A35" s="13" t="n">
        <v>1</v>
      </c>
      <c r="B35" s="14" t="inlineStr">
        <is>
          <t>2. Bang Can Doi Ke Toan</t>
        </is>
      </c>
      <c r="C35" s="13" t="inlineStr">
        <is>
          <t>Mẫu B 01 - DN</t>
        </is>
      </c>
      <c r="D35" s="14" t="inlineStr">
        <is>
          <t>Bảng Cân đối Kế toán tại ngày 31/12/2026 (Tài sản &amp; Nguồn vốn)</t>
        </is>
      </c>
      <c r="E35" s="20" t="n"/>
      <c r="F35" s="20" t="n"/>
      <c r="G35" s="9" t="inlineStr">
        <is>
          <t>Đầy đủ / Khớp 100%</t>
        </is>
      </c>
    </row>
    <row r="36" ht="22" customHeight="1">
      <c r="A36" s="13" t="n">
        <v>2</v>
      </c>
      <c r="B36" s="14" t="inlineStr">
        <is>
          <t>3. KQKD</t>
        </is>
      </c>
      <c r="C36" s="13" t="inlineStr">
        <is>
          <t>Mẫu B 02 - DN</t>
        </is>
      </c>
      <c r="D36" s="14" t="inlineStr">
        <is>
          <t>Báo cáo Kết quả Hoạt động Kinh doanh năm 2026 (Doanh thu, Chi phí, Lãi/Lỗ)</t>
        </is>
      </c>
      <c r="E36" s="20" t="n"/>
      <c r="F36" s="20" t="n"/>
      <c r="G36" s="9" t="inlineStr">
        <is>
          <t>Đầy đủ / Khớp 100%</t>
        </is>
      </c>
    </row>
    <row r="37" ht="22" customHeight="1">
      <c r="A37" s="13" t="n">
        <v>3</v>
      </c>
      <c r="B37" s="14" t="inlineStr">
        <is>
          <t>4. Luu Chuyen Tien Te</t>
        </is>
      </c>
      <c r="C37" s="13" t="inlineStr">
        <is>
          <t>Mẫu B 03 - DN</t>
        </is>
      </c>
      <c r="D37" s="14" t="inlineStr">
        <is>
          <t>Báo cáo Lưu chuyển Tiền tệ năm 2026 (Phương pháp Gián tiếp)</t>
        </is>
      </c>
      <c r="E37" s="20" t="n"/>
      <c r="F37" s="20" t="n"/>
      <c r="G37" s="9" t="inlineStr">
        <is>
          <t>Đầy đủ / Khớp 100%</t>
        </is>
      </c>
    </row>
    <row r="38" ht="22" customHeight="1">
      <c r="A38" s="13" t="n">
        <v>4</v>
      </c>
      <c r="B38" s="14" t="inlineStr">
        <is>
          <t>5. Thuyet Minh BCTC</t>
        </is>
      </c>
      <c r="C38" s="13" t="inlineStr">
        <is>
          <t>Mẫu B 09 - DN</t>
        </is>
      </c>
      <c r="D38" s="14" t="inlineStr">
        <is>
          <t>Bản Thuyết minh BCTC chi tiết các khoản mục trọng yếu và phân tích công nợ</t>
        </is>
      </c>
      <c r="E38" s="20" t="n"/>
      <c r="F38" s="20" t="n"/>
      <c r="G38" s="9" t="inlineStr">
        <is>
          <t>Đầy đủ / Khớp 100%</t>
        </is>
      </c>
    </row>
    <row r="39" ht="22" customHeight="1">
      <c r="A39" s="13" t="n">
        <v>5</v>
      </c>
      <c r="B39" s="14" t="inlineStr">
        <is>
          <t>6. Phan Tich Tai Chinh</t>
        </is>
      </c>
      <c r="C39" s="13" t="inlineStr">
        <is>
          <t>Báo cáo Quản trị</t>
        </is>
      </c>
      <c r="D39" s="14" t="inlineStr">
        <is>
          <t>Bảng phân tích chuyên sâu các nhóm chỉ số tài chính, thanh khoản và sinh lời</t>
        </is>
      </c>
      <c r="E39" s="20" t="n"/>
      <c r="F39" s="20" t="n"/>
      <c r="G39" s="9" t="inlineStr">
        <is>
          <t>Đầy đủ / Khớp 100%</t>
        </is>
      </c>
    </row>
  </sheetData>
  <mergeCells count="34">
    <mergeCell ref="B16:C16"/>
    <mergeCell ref="D9:G9"/>
    <mergeCell ref="B7:C7"/>
    <mergeCell ref="D12:G12"/>
    <mergeCell ref="D8:G8"/>
    <mergeCell ref="D15:G15"/>
    <mergeCell ref="D14:G14"/>
    <mergeCell ref="B12:C12"/>
    <mergeCell ref="B11:C11"/>
    <mergeCell ref="D37:F37"/>
    <mergeCell ref="B14:C14"/>
    <mergeCell ref="D10:G10"/>
    <mergeCell ref="D39:F39"/>
    <mergeCell ref="B8:C8"/>
    <mergeCell ref="B13:C13"/>
    <mergeCell ref="D38:F38"/>
    <mergeCell ref="A1:G1"/>
    <mergeCell ref="D6:G6"/>
    <mergeCell ref="B10:C10"/>
    <mergeCell ref="D35:F35"/>
    <mergeCell ref="D11:G11"/>
    <mergeCell ref="D13:G13"/>
    <mergeCell ref="B9:C9"/>
    <mergeCell ref="D34:F34"/>
    <mergeCell ref="B6:C6"/>
    <mergeCell ref="B15:C15"/>
    <mergeCell ref="A18:G18"/>
    <mergeCell ref="A3:G3"/>
    <mergeCell ref="D16:G16"/>
    <mergeCell ref="D7:G7"/>
    <mergeCell ref="D36:F36"/>
    <mergeCell ref="A2:G2"/>
    <mergeCell ref="A33:G33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6"/>
  <sheetViews>
    <sheetView showGridLines="1" workbookViewId="0">
      <selection activeCell="A1" sqref="A1"/>
    </sheetView>
  </sheetViews>
  <sheetFormatPr baseColWidth="8" defaultRowHeight="15" outlineLevelCol="0"/>
  <cols>
    <col width="9" customWidth="1" min="1" max="1"/>
    <col width="47" customWidth="1" min="2" max="2"/>
    <col width="23" customWidth="1" min="3" max="3"/>
    <col width="28" customWidth="1" min="4" max="4"/>
    <col width="46" customWidth="1" min="5" max="5"/>
  </cols>
  <sheetData>
    <row r="1">
      <c r="A1" s="21" t="inlineStr">
        <is>
          <t>CÔNG TY CỔ PHẦN CÔNG NGHỆ CES</t>
        </is>
      </c>
      <c r="E1" s="22" t="inlineStr">
        <is>
          <t>Mẫu số B 01 - DN</t>
        </is>
      </c>
    </row>
    <row r="2">
      <c r="A2" s="23" t="inlineStr">
        <is>
          <t>Địa chỉ: Tầng 6, Tòa nhà CES Tower, Cầu Giấy, TP. Hà Nội</t>
        </is>
      </c>
      <c r="E2" s="24" t="inlineStr">
        <is>
          <t>(Ban hành theo Thông tư số 200/2014/TT-BTC</t>
        </is>
      </c>
    </row>
    <row r="3">
      <c r="A3" s="23" t="inlineStr">
        <is>
          <t>Mã số thuế: 0109876543 | ĐT: (024) 6886 9999</t>
        </is>
      </c>
      <c r="E3" s="24" t="inlineStr">
        <is>
          <t>Ngày 22/12/2014 của Bộ Tài chính)</t>
        </is>
      </c>
    </row>
    <row r="4"/>
    <row r="5" ht="26" customHeight="1">
      <c r="A5" s="25" t="inlineStr">
        <is>
          <t>BẢNG CÂN ĐỐI KẾ TOÁN</t>
        </is>
      </c>
    </row>
    <row r="6" ht="20" customHeight="1">
      <c r="A6" s="26" t="inlineStr">
        <is>
          <t>Tại ngày 31 tháng 12 năm 2026</t>
        </is>
      </c>
    </row>
    <row r="7" ht="18" customHeight="1">
      <c r="E7" s="27" t="inlineStr">
        <is>
          <t>Đơn vị tính: Việt Nam đồng (VNĐ)</t>
        </is>
      </c>
    </row>
    <row r="8" ht="28" customHeight="1">
      <c r="A8" s="8" t="inlineStr">
        <is>
          <t>Mã số</t>
        </is>
      </c>
      <c r="B8" s="8" t="inlineStr">
        <is>
          <t>CHỈ TIÊU</t>
        </is>
      </c>
      <c r="C8" s="8" t="inlineStr">
        <is>
          <t>Thuyết minh</t>
        </is>
      </c>
      <c r="D8" s="8" t="inlineStr">
        <is>
          <t>Số cuối năm (31/12/2026)</t>
        </is>
      </c>
      <c r="E8" s="8" t="inlineStr">
        <is>
          <t>Số đầu năm (01/01/2026)</t>
        </is>
      </c>
    </row>
    <row r="9" ht="26" customHeight="1">
      <c r="A9" s="28" t="inlineStr">
        <is>
          <t>100</t>
        </is>
      </c>
      <c r="B9" s="29" t="inlineStr">
        <is>
          <t>A. TÀI SẢN NGẮN HẠN</t>
        </is>
      </c>
      <c r="C9" s="28" t="inlineStr"/>
      <c r="D9" s="30">
        <f>D10+D13+D14+D19+D20</f>
        <v/>
      </c>
      <c r="E9" s="30">
        <f>E10+E13+E14+E19+E20</f>
        <v/>
      </c>
    </row>
    <row r="10" ht="23" customHeight="1">
      <c r="A10" s="31" t="inlineStr">
        <is>
          <t>110</t>
        </is>
      </c>
      <c r="B10" s="32" t="inlineStr">
        <is>
          <t>I. Tiền và các khoản tương đương tiền</t>
        </is>
      </c>
      <c r="C10" s="31" t="inlineStr">
        <is>
          <t>V.01</t>
        </is>
      </c>
      <c r="D10" s="33">
        <f>D11+D12</f>
        <v/>
      </c>
      <c r="E10" s="33">
        <f>E11+E12</f>
        <v/>
      </c>
    </row>
    <row r="11" ht="23" customHeight="1">
      <c r="A11" s="13" t="inlineStr">
        <is>
          <t>111</t>
        </is>
      </c>
      <c r="B11" s="14" t="inlineStr">
        <is>
          <t>1. Tiền mặt tại quỹ</t>
        </is>
      </c>
      <c r="C11" s="13" t="inlineStr"/>
      <c r="D11" s="15" t="n">
        <v>150000000</v>
      </c>
      <c r="E11" s="15" t="n">
        <v>120000000</v>
      </c>
    </row>
    <row r="12" ht="23" customHeight="1">
      <c r="A12" s="13" t="inlineStr">
        <is>
          <t>112</t>
        </is>
      </c>
      <c r="B12" s="14" t="inlineStr">
        <is>
          <t>2. Tiền gửi ngân hàng không kỳ hạn</t>
        </is>
      </c>
      <c r="C12" s="13" t="inlineStr"/>
      <c r="D12" s="15" t="n">
        <v>2300000000</v>
      </c>
      <c r="E12" s="15" t="n">
        <v>1840000000</v>
      </c>
    </row>
    <row r="13" ht="23" customHeight="1">
      <c r="A13" s="31" t="inlineStr">
        <is>
          <t>120</t>
        </is>
      </c>
      <c r="B13" s="32" t="inlineStr">
        <is>
          <t>II. Đầu tư tài chính ngắn hạn (Tiền gửi 6T)</t>
        </is>
      </c>
      <c r="C13" s="31" t="inlineStr">
        <is>
          <t>V.02</t>
        </is>
      </c>
      <c r="D13" s="33" t="n">
        <v>1000000000</v>
      </c>
      <c r="E13" s="33" t="n">
        <v>500000000</v>
      </c>
    </row>
    <row r="14" ht="23" customHeight="1">
      <c r="A14" s="31" t="inlineStr">
        <is>
          <t>130</t>
        </is>
      </c>
      <c r="B14" s="32" t="inlineStr">
        <is>
          <t>III. Các khoản phải thu ngắn hạn</t>
        </is>
      </c>
      <c r="C14" s="31" t="inlineStr">
        <is>
          <t>V.03</t>
        </is>
      </c>
      <c r="D14" s="33">
        <f>SUM(D15:D18)</f>
        <v/>
      </c>
      <c r="E14" s="33">
        <f>SUM(E15:E18)</f>
        <v/>
      </c>
    </row>
    <row r="15" ht="23" customHeight="1">
      <c r="A15" s="13" t="inlineStr">
        <is>
          <t>131</t>
        </is>
      </c>
      <c r="B15" s="14" t="inlineStr">
        <is>
          <t>1. Phải thu ngắn hạn của khách hàng</t>
        </is>
      </c>
      <c r="C15" s="13" t="inlineStr">
        <is>
          <t>V.03a</t>
        </is>
      </c>
      <c r="D15" s="15" t="n">
        <v>1240000000</v>
      </c>
      <c r="E15" s="15" t="n">
        <v>980000000</v>
      </c>
    </row>
    <row r="16" ht="23" customHeight="1">
      <c r="A16" s="13" t="inlineStr">
        <is>
          <t>132</t>
        </is>
      </c>
      <c r="B16" s="14" t="inlineStr">
        <is>
          <t>2. Trả trước cho người bán ngắn hạn</t>
        </is>
      </c>
      <c r="C16" s="13" t="inlineStr"/>
      <c r="D16" s="15" t="n">
        <v>185000000</v>
      </c>
      <c r="E16" s="15" t="n">
        <v>145000000</v>
      </c>
    </row>
    <row r="17" ht="23" customHeight="1">
      <c r="A17" s="13" t="inlineStr">
        <is>
          <t>136</t>
        </is>
      </c>
      <c r="B17" s="14" t="inlineStr">
        <is>
          <t>3. Phải thu ngắn hạn khác</t>
        </is>
      </c>
      <c r="C17" s="13" t="inlineStr"/>
      <c r="D17" s="15" t="n">
        <v>0</v>
      </c>
      <c r="E17" s="15" t="n">
        <v>30000000</v>
      </c>
    </row>
    <row r="18" ht="23" customHeight="1">
      <c r="A18" s="13" t="inlineStr">
        <is>
          <t>137</t>
        </is>
      </c>
      <c r="B18" s="14" t="inlineStr">
        <is>
          <t>4. Dự phòng phải thu ngắn hạn khó đòi (*)</t>
        </is>
      </c>
      <c r="C18" s="13" t="inlineStr">
        <is>
          <t>V.03b</t>
        </is>
      </c>
      <c r="D18" s="15" t="n">
        <v>-55000000</v>
      </c>
      <c r="E18" s="15" t="n">
        <v>-35000000</v>
      </c>
    </row>
    <row r="19" ht="23" customHeight="1">
      <c r="A19" s="31" t="inlineStr">
        <is>
          <t>140</t>
        </is>
      </c>
      <c r="B19" s="32" t="inlineStr">
        <is>
          <t>IV. Hàng tồn kho (Chi phí dở dang dịch vụ)</t>
        </is>
      </c>
      <c r="C19" s="31" t="inlineStr">
        <is>
          <t>V.04</t>
        </is>
      </c>
      <c r="D19" s="33" t="n">
        <v>420000000</v>
      </c>
      <c r="E19" s="33" t="n">
        <v>320000000</v>
      </c>
    </row>
    <row r="20" ht="23" customHeight="1">
      <c r="A20" s="31" t="inlineStr">
        <is>
          <t>150</t>
        </is>
      </c>
      <c r="B20" s="32" t="inlineStr">
        <is>
          <t>V. Tài sản ngắn hạn khác</t>
        </is>
      </c>
      <c r="C20" s="31" t="inlineStr">
        <is>
          <t>V.05</t>
        </is>
      </c>
      <c r="D20" s="33" t="n">
        <v>95000000</v>
      </c>
      <c r="E20" s="33" t="n">
        <v>80000000</v>
      </c>
    </row>
    <row r="21" ht="26" customHeight="1">
      <c r="A21" s="28" t="inlineStr">
        <is>
          <t>200</t>
        </is>
      </c>
      <c r="B21" s="29" t="inlineStr">
        <is>
          <t>B. TÀI SẢN DÀI HẠN</t>
        </is>
      </c>
      <c r="C21" s="28" t="inlineStr"/>
      <c r="D21" s="30">
        <f>D22+D29+D30</f>
        <v/>
      </c>
      <c r="E21" s="30">
        <f>E22+E29+E30</f>
        <v/>
      </c>
    </row>
    <row r="22" ht="23" customHeight="1">
      <c r="A22" s="31" t="inlineStr">
        <is>
          <t>220</t>
        </is>
      </c>
      <c r="B22" s="32" t="inlineStr">
        <is>
          <t>I. Tài sản cố định</t>
        </is>
      </c>
      <c r="C22" s="31" t="inlineStr">
        <is>
          <t>V.06</t>
        </is>
      </c>
      <c r="D22" s="33">
        <f>D23+D26</f>
        <v/>
      </c>
      <c r="E22" s="33">
        <f>E23+E26</f>
        <v/>
      </c>
    </row>
    <row r="23" ht="23" customHeight="1">
      <c r="A23" s="13" t="inlineStr">
        <is>
          <t>221</t>
        </is>
      </c>
      <c r="B23" s="14" t="inlineStr">
        <is>
          <t>1. Tài sản cố định hữu hình</t>
        </is>
      </c>
      <c r="C23" s="13" t="inlineStr"/>
      <c r="D23" s="15">
        <f>D24+D25</f>
        <v/>
      </c>
      <c r="E23" s="15">
        <f>E24+E25</f>
        <v/>
      </c>
    </row>
    <row r="24" ht="23" customHeight="1">
      <c r="A24" s="13" t="inlineStr">
        <is>
          <t>222</t>
        </is>
      </c>
      <c r="B24" s="14" t="inlineStr">
        <is>
          <t xml:space="preserve">   - Nguyên giá</t>
        </is>
      </c>
      <c r="C24" s="13" t="inlineStr"/>
      <c r="D24" s="15" t="n">
        <v>2850000000</v>
      </c>
      <c r="E24" s="15" t="n">
        <v>2400000000</v>
      </c>
    </row>
    <row r="25" ht="23" customHeight="1">
      <c r="A25" s="13" t="inlineStr">
        <is>
          <t>223</t>
        </is>
      </c>
      <c r="B25" s="14" t="inlineStr">
        <is>
          <t xml:space="preserve">   - Giá trị hao mòn lũy kế (*)</t>
        </is>
      </c>
      <c r="C25" s="13" t="inlineStr"/>
      <c r="D25" s="15" t="n">
        <v>-1120000000</v>
      </c>
      <c r="E25" s="15" t="n">
        <v>-780000000</v>
      </c>
    </row>
    <row r="26" ht="23" customHeight="1">
      <c r="A26" s="13" t="inlineStr">
        <is>
          <t>227</t>
        </is>
      </c>
      <c r="B26" s="14" t="inlineStr">
        <is>
          <t>2. Tài sản cố định vô hình (Nền tảng AI)</t>
        </is>
      </c>
      <c r="C26" s="13" t="inlineStr"/>
      <c r="D26" s="15">
        <f>D27+D28</f>
        <v/>
      </c>
      <c r="E26" s="15">
        <f>E27+E28</f>
        <v/>
      </c>
    </row>
    <row r="27" ht="23" customHeight="1">
      <c r="A27" s="13" t="inlineStr">
        <is>
          <t>228</t>
        </is>
      </c>
      <c r="B27" s="14" t="inlineStr">
        <is>
          <t xml:space="preserve">   - Nguyên giá</t>
        </is>
      </c>
      <c r="C27" s="13" t="inlineStr"/>
      <c r="D27" s="15" t="n">
        <v>6200000000</v>
      </c>
      <c r="E27" s="15" t="n">
        <v>5200000000</v>
      </c>
    </row>
    <row r="28" ht="23" customHeight="1">
      <c r="A28" s="13" t="inlineStr">
        <is>
          <t>229</t>
        </is>
      </c>
      <c r="B28" s="14" t="inlineStr">
        <is>
          <t xml:space="preserve">   - Giá trị hao mòn lũy kế (*)</t>
        </is>
      </c>
      <c r="C28" s="13" t="inlineStr"/>
      <c r="D28" s="15" t="n">
        <v>-1860000000</v>
      </c>
      <c r="E28" s="15" t="n">
        <v>-1120000000</v>
      </c>
    </row>
    <row r="29" ht="23" customHeight="1">
      <c r="A29" s="31" t="inlineStr">
        <is>
          <t>240</t>
        </is>
      </c>
      <c r="B29" s="32" t="inlineStr">
        <is>
          <t>II. Tài sản dở dang dài hạn (R&amp;D AI Server)</t>
        </is>
      </c>
      <c r="C29" s="31" t="inlineStr">
        <is>
          <t>V.07</t>
        </is>
      </c>
      <c r="D29" s="33" t="n">
        <v>380000000</v>
      </c>
      <c r="E29" s="33" t="n">
        <v>410000000</v>
      </c>
    </row>
    <row r="30" ht="23" customHeight="1">
      <c r="A30" s="31" t="inlineStr">
        <is>
          <t>260</t>
        </is>
      </c>
      <c r="B30" s="32" t="inlineStr">
        <is>
          <t>III. Tài sản dài hạn khác (Ký quỹ thuê VP)</t>
        </is>
      </c>
      <c r="C30" s="31" t="inlineStr">
        <is>
          <t>V.08</t>
        </is>
      </c>
      <c r="D30" s="33" t="n">
        <v>165000000</v>
      </c>
      <c r="E30" s="33" t="n">
        <v>150000000</v>
      </c>
    </row>
    <row r="31" ht="28" customHeight="1">
      <c r="A31" s="34" t="inlineStr">
        <is>
          <t>270</t>
        </is>
      </c>
      <c r="B31" s="35" t="inlineStr">
        <is>
          <t>TỔNG CỘNG TÀI SẢN (270 = 100 + 200)</t>
        </is>
      </c>
      <c r="C31" s="34" t="inlineStr"/>
      <c r="D31" s="36">
        <f>D9+D21</f>
        <v/>
      </c>
      <c r="E31" s="36">
        <f>E9+E21</f>
        <v/>
      </c>
    </row>
    <row r="32" ht="26" customHeight="1">
      <c r="A32" s="28" t="inlineStr">
        <is>
          <t>300</t>
        </is>
      </c>
      <c r="B32" s="29" t="inlineStr">
        <is>
          <t>C. NỢ PHẢI TRẢ</t>
        </is>
      </c>
      <c r="C32" s="28" t="inlineStr"/>
      <c r="D32" s="30">
        <f>D33+D39</f>
        <v/>
      </c>
      <c r="E32" s="30">
        <f>E33+E39</f>
        <v/>
      </c>
    </row>
    <row r="33" ht="23" customHeight="1">
      <c r="A33" s="31" t="inlineStr">
        <is>
          <t>310</t>
        </is>
      </c>
      <c r="B33" s="32" t="inlineStr">
        <is>
          <t>I. Nợ ngắn hạn</t>
        </is>
      </c>
      <c r="C33" s="31" t="inlineStr">
        <is>
          <t>V.09</t>
        </is>
      </c>
      <c r="D33" s="33">
        <f>SUM(D34:D38)</f>
        <v/>
      </c>
      <c r="E33" s="33">
        <f>SUM(E34:E38)</f>
        <v/>
      </c>
    </row>
    <row r="34" ht="23" customHeight="1">
      <c r="A34" s="13" t="inlineStr">
        <is>
          <t>311</t>
        </is>
      </c>
      <c r="B34" s="14" t="inlineStr">
        <is>
          <t>1. Phải trả người bán ngắn hạn</t>
        </is>
      </c>
      <c r="C34" s="13" t="inlineStr"/>
      <c r="D34" s="15" t="n">
        <v>385000000</v>
      </c>
      <c r="E34" s="15" t="n">
        <v>310000000</v>
      </c>
    </row>
    <row r="35" ht="23" customHeight="1">
      <c r="A35" s="13" t="inlineStr">
        <is>
          <t>312</t>
        </is>
      </c>
      <c r="B35" s="14" t="inlineStr">
        <is>
          <t>2. Người mua trả tiền trước ngắn hạn</t>
        </is>
      </c>
      <c r="C35" s="13" t="inlineStr"/>
      <c r="D35" s="15" t="n">
        <v>215000000</v>
      </c>
      <c r="E35" s="15" t="n">
        <v>180000000</v>
      </c>
    </row>
    <row r="36" ht="23" customHeight="1">
      <c r="A36" s="13" t="inlineStr">
        <is>
          <t>313</t>
        </is>
      </c>
      <c r="B36" s="14" t="inlineStr">
        <is>
          <t>3. Thuế và các khoản phải nộp Nhà nước</t>
        </is>
      </c>
      <c r="C36" s="13" t="inlineStr">
        <is>
          <t>V.10</t>
        </is>
      </c>
      <c r="D36" s="15" t="n">
        <v>142000000</v>
      </c>
      <c r="E36" s="15" t="n">
        <v>125000000</v>
      </c>
    </row>
    <row r="37" ht="23" customHeight="1">
      <c r="A37" s="13" t="inlineStr">
        <is>
          <t>314</t>
        </is>
      </c>
      <c r="B37" s="14" t="inlineStr">
        <is>
          <t>4. Phải trả người lao động</t>
        </is>
      </c>
      <c r="C37" s="13" t="inlineStr"/>
      <c r="D37" s="15" t="n">
        <v>195000000</v>
      </c>
      <c r="E37" s="15" t="n">
        <v>160000000</v>
      </c>
    </row>
    <row r="38" ht="23" customHeight="1">
      <c r="A38" s="13" t="inlineStr">
        <is>
          <t>320</t>
        </is>
      </c>
      <c r="B38" s="14" t="inlineStr">
        <is>
          <t>5. Vay và nợ thuê tài chính ngắn hạn</t>
        </is>
      </c>
      <c r="C38" s="13" t="inlineStr">
        <is>
          <t>V.11</t>
        </is>
      </c>
      <c r="D38" s="15" t="n">
        <v>850000000</v>
      </c>
      <c r="E38" s="15" t="n">
        <v>750000000</v>
      </c>
    </row>
    <row r="39" ht="23" customHeight="1">
      <c r="A39" s="31" t="inlineStr">
        <is>
          <t>330</t>
        </is>
      </c>
      <c r="B39" s="32" t="inlineStr">
        <is>
          <t>II. Nợ dài hạn (Vay dài hạn đầu tư server)</t>
        </is>
      </c>
      <c r="C39" s="31" t="inlineStr">
        <is>
          <t>V.12</t>
        </is>
      </c>
      <c r="D39" s="33" t="n">
        <v>650000000</v>
      </c>
      <c r="E39" s="33" t="n">
        <v>710000000</v>
      </c>
    </row>
    <row r="40" ht="26" customHeight="1">
      <c r="A40" s="28" t="inlineStr">
        <is>
          <t>400</t>
        </is>
      </c>
      <c r="B40" s="29" t="inlineStr">
        <is>
          <t>D. VỐN CHỦ SỞ HỮU</t>
        </is>
      </c>
      <c r="C40" s="28" t="inlineStr"/>
      <c r="D40" s="30">
        <f>D41</f>
        <v/>
      </c>
      <c r="E40" s="30">
        <f>E41</f>
        <v/>
      </c>
    </row>
    <row r="41" ht="23" customHeight="1">
      <c r="A41" s="31" t="inlineStr">
        <is>
          <t>410</t>
        </is>
      </c>
      <c r="B41" s="32" t="inlineStr">
        <is>
          <t>I. Vốn chủ sở hữu</t>
        </is>
      </c>
      <c r="C41" s="31" t="inlineStr">
        <is>
          <t>V.13</t>
        </is>
      </c>
      <c r="D41" s="33">
        <f>D42+D43+D44</f>
        <v/>
      </c>
      <c r="E41" s="33">
        <f>E42+E43+E44</f>
        <v/>
      </c>
    </row>
    <row r="42" ht="23" customHeight="1">
      <c r="A42" s="13" t="inlineStr">
        <is>
          <t>411</t>
        </is>
      </c>
      <c r="B42" s="14" t="inlineStr">
        <is>
          <t>1. Vốn góp của chủ sở hữu</t>
        </is>
      </c>
      <c r="C42" s="13" t="inlineStr"/>
      <c r="D42" s="15" t="n">
        <v>8000000000</v>
      </c>
      <c r="E42" s="15" t="n">
        <v>7000000000</v>
      </c>
    </row>
    <row r="43" ht="23" customHeight="1">
      <c r="A43" s="13" t="inlineStr">
        <is>
          <t>418</t>
        </is>
      </c>
      <c r="B43" s="14" t="inlineStr">
        <is>
          <t>2. Quỹ đầu tư phát triển</t>
        </is>
      </c>
      <c r="C43" s="13" t="inlineStr"/>
      <c r="D43" s="15" t="n">
        <v>425000000</v>
      </c>
      <c r="E43" s="15" t="n">
        <v>275000000</v>
      </c>
    </row>
    <row r="44" ht="23" customHeight="1">
      <c r="A44" s="13" t="inlineStr">
        <is>
          <t>421</t>
        </is>
      </c>
      <c r="B44" s="14" t="inlineStr">
        <is>
          <t>3. Lợi nhuận sau thuế chưa phân phối</t>
        </is>
      </c>
      <c r="C44" s="13" t="inlineStr"/>
      <c r="D44" s="15">
        <f>D45+D46</f>
        <v/>
      </c>
      <c r="E44" s="15">
        <f>E45+E46</f>
        <v/>
      </c>
    </row>
    <row r="45" ht="23" customHeight="1">
      <c r="A45" s="13" t="inlineStr">
        <is>
          <t>421a</t>
        </is>
      </c>
      <c r="B45" s="14" t="inlineStr">
        <is>
          <t xml:space="preserve">   - LNST chưa phân phối lũy kế kỳ trước</t>
        </is>
      </c>
      <c r="C45" s="13" t="inlineStr"/>
      <c r="D45" s="15" t="n">
        <v>-420000000</v>
      </c>
      <c r="E45" s="15" t="n">
        <v>-490000000</v>
      </c>
    </row>
    <row r="46" ht="23" customHeight="1">
      <c r="A46" s="13" t="inlineStr">
        <is>
          <t>421b</t>
        </is>
      </c>
      <c r="B46" s="14" t="inlineStr">
        <is>
          <t xml:space="preserve">   - LNST chưa phân phối kỳ này</t>
        </is>
      </c>
      <c r="C46" s="13" t="inlineStr"/>
      <c r="D46" s="15" t="n">
        <v>1508000000</v>
      </c>
      <c r="E46" s="15" t="n">
        <v>1220000000</v>
      </c>
    </row>
    <row r="47" ht="28" customHeight="1">
      <c r="A47" s="34" t="inlineStr">
        <is>
          <t>440</t>
        </is>
      </c>
      <c r="B47" s="35" t="inlineStr">
        <is>
          <t>TỔNG CỘNG NGUỒN VỐN (440 = 300 + 400)</t>
        </is>
      </c>
      <c r="C47" s="34" t="inlineStr"/>
      <c r="D47" s="36">
        <f>D32+D40</f>
        <v/>
      </c>
      <c r="E47" s="36">
        <f>E32+E40</f>
        <v/>
      </c>
    </row>
    <row r="48"/>
    <row r="49" ht="25" customHeight="1">
      <c r="B49" s="37" t="inlineStr">
        <is>
          <t>KIỂM TRA CÂN ĐỐI (TỔNG TÀI SẢN - TỔNG NGUỒN VỐN):</t>
        </is>
      </c>
      <c r="D49" s="38">
        <f>D31-D47</f>
        <v/>
      </c>
      <c r="E49" s="38">
        <f>E31-E47</f>
        <v/>
      </c>
    </row>
    <row r="50"/>
    <row r="51"/>
    <row r="52">
      <c r="B52" s="5" t="inlineStr">
        <is>
          <t>Người lập biểu
(Ký, họ tên)</t>
        </is>
      </c>
      <c r="C52" s="5" t="inlineStr">
        <is>
          <t>Kế toán trưởng
(Ký, họ tên)</t>
        </is>
      </c>
      <c r="E52" s="5" t="inlineStr">
        <is>
          <t>Hà Nội, ngày 15 tháng 01 năm 2027
Tổng Giám đốc
(Ký, đóng dấu)</t>
        </is>
      </c>
    </row>
    <row r="53"/>
    <row r="54"/>
    <row r="55"/>
    <row r="56">
      <c r="B56" s="5" t="inlineStr">
        <is>
          <t>Nguyễn Văn An</t>
        </is>
      </c>
      <c r="C56" s="5" t="inlineStr">
        <is>
          <t>Trần Thị Hồng Nhung</t>
        </is>
      </c>
      <c r="E56" s="5" t="inlineStr">
        <is>
          <t>Lưu Tuấn Anh</t>
        </is>
      </c>
    </row>
  </sheetData>
  <mergeCells count="6">
    <mergeCell ref="A1:C1"/>
    <mergeCell ref="A5:E5"/>
    <mergeCell ref="A3:C3"/>
    <mergeCell ref="A6:E6"/>
    <mergeCell ref="B49:C49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5"/>
  <sheetViews>
    <sheetView showGridLines="1" workbookViewId="0">
      <selection activeCell="A1" sqref="A1"/>
    </sheetView>
  </sheetViews>
  <sheetFormatPr baseColWidth="8" defaultRowHeight="15" outlineLevelCol="0"/>
  <cols>
    <col width="9" customWidth="1" min="1" max="1"/>
    <col width="61" customWidth="1" min="2" max="2"/>
    <col width="23" customWidth="1" min="3" max="3"/>
    <col width="25" customWidth="1" min="4" max="4"/>
    <col width="46" customWidth="1" min="5" max="5"/>
  </cols>
  <sheetData>
    <row r="1">
      <c r="A1" s="21" t="inlineStr">
        <is>
          <t>CÔNG TY CỔ PHẦN CÔNG NGHỆ CES</t>
        </is>
      </c>
      <c r="E1" s="22" t="inlineStr">
        <is>
          <t>Mẫu số B 02 - DN</t>
        </is>
      </c>
    </row>
    <row r="2">
      <c r="A2" s="23" t="inlineStr">
        <is>
          <t>Địa chỉ: Tầng 6, Tòa nhà CES Tower, Cầu Giấy, TP. Hà Nội</t>
        </is>
      </c>
      <c r="E2" s="24" t="inlineStr">
        <is>
          <t>(Ban hành theo Thông tư số 200/2014/TT-BTC</t>
        </is>
      </c>
    </row>
    <row r="3">
      <c r="A3" s="23" t="inlineStr">
        <is>
          <t>Mã số thuế: 0109876543 | ĐT: (024) 6886 9999</t>
        </is>
      </c>
      <c r="E3" s="24" t="inlineStr">
        <is>
          <t>Ngày 22/12/2014 của Bộ Tài chính)</t>
        </is>
      </c>
    </row>
    <row r="4"/>
    <row r="5" ht="26" customHeight="1">
      <c r="A5" s="25" t="inlineStr">
        <is>
          <t>BÁO CÁO KẾT QUẢ HOẠT ĐỘNG KINH DOANH</t>
        </is>
      </c>
    </row>
    <row r="6" ht="20" customHeight="1">
      <c r="A6" s="26" t="inlineStr">
        <is>
          <t>Năm 2026</t>
        </is>
      </c>
    </row>
    <row r="7" ht="18" customHeight="1">
      <c r="E7" s="27" t="inlineStr">
        <is>
          <t>Đơn vị tính: Việt Nam đồng (VNĐ)</t>
        </is>
      </c>
    </row>
    <row r="8" ht="28" customHeight="1">
      <c r="A8" s="8" t="inlineStr">
        <is>
          <t>Mã số</t>
        </is>
      </c>
      <c r="B8" s="8" t="inlineStr">
        <is>
          <t>CHỈ TIÊU</t>
        </is>
      </c>
      <c r="C8" s="8" t="inlineStr">
        <is>
          <t>Thuyết minh</t>
        </is>
      </c>
      <c r="D8" s="8" t="inlineStr">
        <is>
          <t>Năm 2026 (Kỳ này)</t>
        </is>
      </c>
      <c r="E8" s="8" t="inlineStr">
        <is>
          <t>Năm 2025 (Kỳ trước)</t>
        </is>
      </c>
    </row>
    <row r="9" ht="24" customHeight="1">
      <c r="A9" s="13" t="inlineStr">
        <is>
          <t>01</t>
        </is>
      </c>
      <c r="B9" s="14" t="inlineStr">
        <is>
          <t>1. Doanh thu bán hàng và cung cấp dịch vụ</t>
        </is>
      </c>
      <c r="C9" s="13" t="inlineStr">
        <is>
          <t>VI.01</t>
        </is>
      </c>
      <c r="D9" s="15" t="n">
        <v>12545000000</v>
      </c>
      <c r="E9" s="15" t="n">
        <v>10985000000</v>
      </c>
    </row>
    <row r="10" ht="24" customHeight="1">
      <c r="A10" s="13" t="inlineStr">
        <is>
          <t>02</t>
        </is>
      </c>
      <c r="B10" s="14" t="inlineStr">
        <is>
          <t>2. Các khoản giảm trừ doanh thu</t>
        </is>
      </c>
      <c r="C10" s="13" t="inlineStr">
        <is>
          <t>VI.02</t>
        </is>
      </c>
      <c r="D10" s="15" t="n">
        <v>0</v>
      </c>
      <c r="E10" s="15" t="n">
        <v>0</v>
      </c>
    </row>
    <row r="11" ht="24" customHeight="1">
      <c r="A11" s="28" t="inlineStr">
        <is>
          <t>10</t>
        </is>
      </c>
      <c r="B11" s="29" t="inlineStr">
        <is>
          <t>3. Doanh thu thuần về bán hàng và CCDV (10 = 01 - 02)</t>
        </is>
      </c>
      <c r="C11" s="28" t="inlineStr">
        <is>
          <t>VI.03</t>
        </is>
      </c>
      <c r="D11" s="30">
        <f>D9-D10</f>
        <v/>
      </c>
      <c r="E11" s="30">
        <f>E9-E10</f>
        <v/>
      </c>
    </row>
    <row r="12" ht="24" customHeight="1">
      <c r="A12" s="13" t="inlineStr">
        <is>
          <t>11</t>
        </is>
      </c>
      <c r="B12" s="14" t="inlineStr">
        <is>
          <t>4. Giá vốn hàng bán</t>
        </is>
      </c>
      <c r="C12" s="13" t="inlineStr">
        <is>
          <t>VI.04</t>
        </is>
      </c>
      <c r="D12" s="15" t="n">
        <v>6899750000</v>
      </c>
      <c r="E12" s="15" t="n">
        <v>6151600000</v>
      </c>
    </row>
    <row r="13" ht="24" customHeight="1">
      <c r="A13" s="28" t="inlineStr">
        <is>
          <t>20</t>
        </is>
      </c>
      <c r="B13" s="29" t="inlineStr">
        <is>
          <t>5. Lợi nhuận gộp về bán hàng và CCDV (20 = 10 - 11)</t>
        </is>
      </c>
      <c r="C13" s="28" t="inlineStr"/>
      <c r="D13" s="30">
        <f>D11-D12</f>
        <v/>
      </c>
      <c r="E13" s="30">
        <f>E11-E12</f>
        <v/>
      </c>
    </row>
    <row r="14" ht="24" customHeight="1">
      <c r="A14" s="13" t="inlineStr">
        <is>
          <t>21</t>
        </is>
      </c>
      <c r="B14" s="14" t="inlineStr">
        <is>
          <t>6. Doanh thu hoạt động tài chính</t>
        </is>
      </c>
      <c r="C14" s="13" t="inlineStr">
        <is>
          <t>VI.05</t>
        </is>
      </c>
      <c r="D14" s="15" t="n">
        <v>145000000</v>
      </c>
      <c r="E14" s="15" t="n">
        <v>95000000</v>
      </c>
    </row>
    <row r="15" ht="24" customHeight="1">
      <c r="A15" s="13" t="inlineStr">
        <is>
          <t>22</t>
        </is>
      </c>
      <c r="B15" s="14" t="inlineStr">
        <is>
          <t>7. Chi phí tài chính</t>
        </is>
      </c>
      <c r="C15" s="13" t="inlineStr">
        <is>
          <t>VI.06</t>
        </is>
      </c>
      <c r="D15" s="15" t="n">
        <v>110000000</v>
      </c>
      <c r="E15" s="15" t="n">
        <v>85000000</v>
      </c>
    </row>
    <row r="16" ht="24" customHeight="1">
      <c r="A16" s="13" t="inlineStr">
        <is>
          <t>23</t>
        </is>
      </c>
      <c r="B16" s="14" t="inlineStr">
        <is>
          <t xml:space="preserve">   - Trong đó: Chi phí lãi vay</t>
        </is>
      </c>
      <c r="C16" s="13" t="inlineStr"/>
      <c r="D16" s="15" t="n">
        <v>95000000</v>
      </c>
      <c r="E16" s="15" t="n">
        <v>72000000</v>
      </c>
    </row>
    <row r="17" ht="24" customHeight="1">
      <c r="A17" s="13" t="inlineStr">
        <is>
          <t>25</t>
        </is>
      </c>
      <c r="B17" s="14" t="inlineStr">
        <is>
          <t>8. Chi phí bán hàng (Marketing, hoa hồng sale)</t>
        </is>
      </c>
      <c r="C17" s="13" t="inlineStr">
        <is>
          <t>VI.07</t>
        </is>
      </c>
      <c r="D17" s="15" t="n">
        <v>1485000000</v>
      </c>
      <c r="E17" s="15" t="n">
        <v>1260000000</v>
      </c>
    </row>
    <row r="18" ht="24" customHeight="1">
      <c r="A18" s="13" t="inlineStr">
        <is>
          <t>26</t>
        </is>
      </c>
      <c r="B18" s="14" t="inlineStr">
        <is>
          <t>9. Chi phí quản lý doanh nghiệp</t>
        </is>
      </c>
      <c r="C18" s="13" t="inlineStr">
        <is>
          <t>VI.08</t>
        </is>
      </c>
      <c r="D18" s="15" t="n">
        <v>2310250000</v>
      </c>
      <c r="E18" s="15" t="n">
        <v>2063400000</v>
      </c>
    </row>
    <row r="19" ht="24" customHeight="1">
      <c r="A19" s="28" t="inlineStr">
        <is>
          <t>30</t>
        </is>
      </c>
      <c r="B19" s="29" t="inlineStr">
        <is>
          <t>10. Lợi nhuận thuần từ HĐKD (30 = 20 + 21 - 22 - 25 - 26)</t>
        </is>
      </c>
      <c r="C19" s="28" t="inlineStr"/>
      <c r="D19" s="30">
        <f>D13+D14-D15-D17-D18</f>
        <v/>
      </c>
      <c r="E19" s="30">
        <f>E13+E14-E15-E17-E18</f>
        <v/>
      </c>
    </row>
    <row r="20" ht="24" customHeight="1">
      <c r="A20" s="13" t="inlineStr">
        <is>
          <t>31</t>
        </is>
      </c>
      <c r="B20" s="14" t="inlineStr">
        <is>
          <t>11. Thu nhập khác</t>
        </is>
      </c>
      <c r="C20" s="13" t="inlineStr">
        <is>
          <t>VI.09</t>
        </is>
      </c>
      <c r="D20" s="15" t="n">
        <v>25000000</v>
      </c>
      <c r="E20" s="15" t="n">
        <v>15000000</v>
      </c>
    </row>
    <row r="21" ht="24" customHeight="1">
      <c r="A21" s="13" t="inlineStr">
        <is>
          <t>32</t>
        </is>
      </c>
      <c r="B21" s="14" t="inlineStr">
        <is>
          <t>12. Chi phí khác</t>
        </is>
      </c>
      <c r="C21" s="13" t="inlineStr">
        <is>
          <t>VI.10</t>
        </is>
      </c>
      <c r="D21" s="15" t="n">
        <v>25000000</v>
      </c>
      <c r="E21" s="15" t="n">
        <v>15000000</v>
      </c>
    </row>
    <row r="22" ht="24" customHeight="1">
      <c r="A22" s="13" t="inlineStr">
        <is>
          <t>40</t>
        </is>
      </c>
      <c r="B22" s="14" t="inlineStr">
        <is>
          <t>13. Lợi nhuận khác (40 = 31 - 32)</t>
        </is>
      </c>
      <c r="C22" s="13" t="inlineStr"/>
      <c r="D22" s="15">
        <f>D20-D21</f>
        <v/>
      </c>
      <c r="E22" s="15">
        <f>E20-E21</f>
        <v/>
      </c>
    </row>
    <row r="23" ht="28" customHeight="1">
      <c r="A23" s="34" t="inlineStr">
        <is>
          <t>50</t>
        </is>
      </c>
      <c r="B23" s="35" t="inlineStr">
        <is>
          <t>14. TỔNG LỢI NHUẬN KẾ TOÁN TRƯỚC THUẾ (50 = 30 + 40)</t>
        </is>
      </c>
      <c r="C23" s="34" t="inlineStr"/>
      <c r="D23" s="36">
        <f>D19+D22</f>
        <v/>
      </c>
      <c r="E23" s="36">
        <f>E19+E22</f>
        <v/>
      </c>
    </row>
    <row r="24" ht="24" customHeight="1">
      <c r="A24" s="13" t="inlineStr">
        <is>
          <t>51</t>
        </is>
      </c>
      <c r="B24" s="14" t="inlineStr">
        <is>
          <t>15. Chi phí thuế TNDN hiện hành (20%)</t>
        </is>
      </c>
      <c r="C24" s="13" t="inlineStr">
        <is>
          <t>VI.11</t>
        </is>
      </c>
      <c r="D24" s="15" t="n">
        <v>377000000</v>
      </c>
      <c r="E24" s="15" t="n">
        <v>304000000</v>
      </c>
    </row>
    <row r="25" ht="24" customHeight="1">
      <c r="A25" s="13" t="inlineStr">
        <is>
          <t>52</t>
        </is>
      </c>
      <c r="B25" s="14" t="inlineStr">
        <is>
          <t>16. Chi phí thuế TNDN hoãn lại</t>
        </is>
      </c>
      <c r="C25" s="13" t="inlineStr"/>
      <c r="D25" s="15" t="n">
        <v>0</v>
      </c>
      <c r="E25" s="15" t="n">
        <v>0</v>
      </c>
    </row>
    <row r="26" ht="28" customHeight="1">
      <c r="A26" s="34" t="inlineStr">
        <is>
          <t>60</t>
        </is>
      </c>
      <c r="B26" s="35" t="inlineStr">
        <is>
          <t>17. LỢI NHUẬN SAU THUẾ TNDN (60 = 50 - 51 - 52)</t>
        </is>
      </c>
      <c r="C26" s="34" t="inlineStr"/>
      <c r="D26" s="36">
        <f>D23-D24-D25</f>
        <v/>
      </c>
      <c r="E26" s="36">
        <f>E23-E24-E25</f>
        <v/>
      </c>
    </row>
    <row r="27" ht="24" customHeight="1">
      <c r="A27" s="13" t="inlineStr">
        <is>
          <t>70</t>
        </is>
      </c>
      <c r="B27" s="14" t="inlineStr">
        <is>
          <t>18. Lãi cơ bản trên cổ phiếu (EPS) (VNĐ/CP)</t>
        </is>
      </c>
      <c r="C27" s="13" t="inlineStr">
        <is>
          <t>VI.12</t>
        </is>
      </c>
      <c r="D27" s="15">
        <f>ROUND(D26/800000, 0)</f>
        <v/>
      </c>
      <c r="E27" s="15">
        <f>ROUND(E26/700000, 0)</f>
        <v/>
      </c>
    </row>
    <row r="28"/>
    <row r="29"/>
    <row r="30"/>
    <row r="31">
      <c r="B31" s="5" t="inlineStr">
        <is>
          <t>Người lập biểu
(Ký, họ tên)</t>
        </is>
      </c>
      <c r="C31" s="5" t="inlineStr">
        <is>
          <t>Kế toán trưởng
(Ký, họ tên)</t>
        </is>
      </c>
      <c r="E31" s="5" t="inlineStr">
        <is>
          <t>Hà Nội, ngày 15 tháng 01 năm 2027
Tổng Giám đốc
(Ký, đóng dấu)</t>
        </is>
      </c>
    </row>
    <row r="32"/>
    <row r="33"/>
    <row r="34"/>
    <row r="35">
      <c r="B35" s="5" t="inlineStr">
        <is>
          <t>Nguyễn Văn An</t>
        </is>
      </c>
      <c r="C35" s="5" t="inlineStr">
        <is>
          <t>Trần Thị Hồng Nhung</t>
        </is>
      </c>
      <c r="E35" s="5" t="inlineStr">
        <is>
          <t>Lưu Tuấn Anh</t>
        </is>
      </c>
    </row>
  </sheetData>
  <mergeCells count="5">
    <mergeCell ref="A1:C1"/>
    <mergeCell ref="A5:E5"/>
    <mergeCell ref="A3:C3"/>
    <mergeCell ref="A6:E6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4"/>
  <sheetViews>
    <sheetView showGridLines="1" workbookViewId="0">
      <selection activeCell="A1" sqref="A1"/>
    </sheetView>
  </sheetViews>
  <sheetFormatPr baseColWidth="8" defaultRowHeight="15" outlineLevelCol="0"/>
  <cols>
    <col width="9" customWidth="1" min="1" max="1"/>
    <col width="63" customWidth="1" min="2" max="2"/>
    <col width="23" customWidth="1" min="3" max="3"/>
    <col width="24" customWidth="1" min="4" max="4"/>
    <col width="46" customWidth="1" min="5" max="5"/>
  </cols>
  <sheetData>
    <row r="1">
      <c r="A1" s="21" t="inlineStr">
        <is>
          <t>CÔNG TY CỔ PHẦN CÔNG NGHỆ CES</t>
        </is>
      </c>
      <c r="E1" s="22" t="inlineStr">
        <is>
          <t>Mẫu số B 03 - DN</t>
        </is>
      </c>
    </row>
    <row r="2">
      <c r="A2" s="23" t="inlineStr">
        <is>
          <t>Địa chỉ: Tầng 6, Tòa nhà CES Tower, Cầu Giấy, TP. Hà Nội</t>
        </is>
      </c>
      <c r="E2" s="24" t="inlineStr">
        <is>
          <t>(Ban hành theo Thông tư số 200/2014/TT-BTC</t>
        </is>
      </c>
    </row>
    <row r="3">
      <c r="A3" s="23" t="inlineStr">
        <is>
          <t>Mã số thuế: 0109876543 | ĐT: (024) 6886 9999</t>
        </is>
      </c>
      <c r="E3" s="24" t="inlineStr">
        <is>
          <t>Ngày 22/12/2014 của Bộ Tài chính)</t>
        </is>
      </c>
    </row>
    <row r="4"/>
    <row r="5" ht="26" customHeight="1">
      <c r="A5" s="25" t="inlineStr">
        <is>
          <t>BÁO CÁO LƯU CHUYỂN TIỀN TỆ (PHƯƠNG PHÁP GIÁN TIẾP)</t>
        </is>
      </c>
    </row>
    <row r="6" ht="20" customHeight="1">
      <c r="A6" s="26" t="inlineStr">
        <is>
          <t>Năm 2026</t>
        </is>
      </c>
    </row>
    <row r="7" ht="18" customHeight="1">
      <c r="E7" s="27" t="inlineStr">
        <is>
          <t>Đơn vị tính: Việt Nam đồng (VNĐ)</t>
        </is>
      </c>
    </row>
    <row r="8" ht="28" customHeight="1">
      <c r="A8" s="8" t="inlineStr">
        <is>
          <t>Mã số</t>
        </is>
      </c>
      <c r="B8" s="8" t="inlineStr">
        <is>
          <t>CHỈ TIÊU</t>
        </is>
      </c>
      <c r="C8" s="8" t="inlineStr">
        <is>
          <t>Thuyết minh</t>
        </is>
      </c>
      <c r="D8" s="8" t="inlineStr">
        <is>
          <t>Năm 2026 (Kỳ này)</t>
        </is>
      </c>
      <c r="E8" s="8" t="inlineStr">
        <is>
          <t>Năm 2025 (Kỳ trước)</t>
        </is>
      </c>
    </row>
    <row r="9" ht="26" customHeight="1">
      <c r="A9" s="28" t="inlineStr">
        <is>
          <t>I</t>
        </is>
      </c>
      <c r="B9" s="29" t="inlineStr">
        <is>
          <t>LƯU CHUYỂN TIỀN TỪ HOẠT ĐỘNG KINH DOANH</t>
        </is>
      </c>
      <c r="C9" s="28" t="inlineStr"/>
      <c r="D9" s="30" t="n"/>
      <c r="E9" s="30" t="n"/>
    </row>
    <row r="10" ht="23" customHeight="1">
      <c r="A10" s="13" t="inlineStr">
        <is>
          <t>01</t>
        </is>
      </c>
      <c r="B10" s="14" t="inlineStr">
        <is>
          <t>1. Lợi nhuận trước thuế</t>
        </is>
      </c>
      <c r="C10" s="13" t="inlineStr"/>
      <c r="D10" s="15">
        <f>'3. KQKD'!D23</f>
        <v/>
      </c>
      <c r="E10" s="15">
        <f>'3. KQKD'!E23</f>
        <v/>
      </c>
    </row>
    <row r="11" ht="23" customHeight="1">
      <c r="A11" s="13" t="inlineStr">
        <is>
          <t>02</t>
        </is>
      </c>
      <c r="B11" s="14" t="inlineStr">
        <is>
          <t>2. Điều chỉnh cho các khoản:</t>
        </is>
      </c>
      <c r="C11" s="13" t="inlineStr"/>
      <c r="D11" s="15" t="n"/>
      <c r="E11" s="15" t="n"/>
    </row>
    <row r="12" ht="23" customHeight="1">
      <c r="A12" s="13" t="inlineStr">
        <is>
          <t>03</t>
        </is>
      </c>
      <c r="B12" s="14" t="inlineStr">
        <is>
          <t xml:space="preserve">   - Khấu hao TSCĐ và BĐSĐT</t>
        </is>
      </c>
      <c r="C12" s="13" t="inlineStr"/>
      <c r="D12" s="15" t="n">
        <v>1080000000</v>
      </c>
      <c r="E12" s="15" t="n">
        <v>890000000</v>
      </c>
    </row>
    <row r="13" ht="23" customHeight="1">
      <c r="A13" s="13" t="inlineStr">
        <is>
          <t>04</t>
        </is>
      </c>
      <c r="B13" s="14" t="inlineStr">
        <is>
          <t xml:space="preserve">   - Các khoản dự phòng</t>
        </is>
      </c>
      <c r="C13" s="13" t="inlineStr"/>
      <c r="D13" s="15" t="n">
        <v>20000000</v>
      </c>
      <c r="E13" s="15" t="n">
        <v>15000000</v>
      </c>
    </row>
    <row r="14" ht="23" customHeight="1">
      <c r="A14" s="13" t="inlineStr">
        <is>
          <t>06</t>
        </is>
      </c>
      <c r="B14" s="14" t="inlineStr">
        <is>
          <t xml:space="preserve">   - Chi phí lãi vay</t>
        </is>
      </c>
      <c r="C14" s="13" t="inlineStr"/>
      <c r="D14" s="15" t="n">
        <v>95000000</v>
      </c>
      <c r="E14" s="15" t="n">
        <v>72000000</v>
      </c>
    </row>
    <row r="15" ht="23" customHeight="1">
      <c r="A15" s="31" t="inlineStr">
        <is>
          <t>08</t>
        </is>
      </c>
      <c r="B15" s="32" t="inlineStr">
        <is>
          <t>3. Lợi nhuận từ HĐKD trước thay đổi vốn lưu động</t>
        </is>
      </c>
      <c r="C15" s="31" t="inlineStr"/>
      <c r="D15" s="33">
        <f>SUM(D10:D14)</f>
        <v/>
      </c>
      <c r="E15" s="33">
        <f>SUM(E10:E14)</f>
        <v/>
      </c>
    </row>
    <row r="16" ht="23" customHeight="1">
      <c r="A16" s="13" t="inlineStr">
        <is>
          <t>09</t>
        </is>
      </c>
      <c r="B16" s="14" t="inlineStr">
        <is>
          <t xml:space="preserve">   - Tăng/giảm các khoản phải thu</t>
        </is>
      </c>
      <c r="C16" s="13" t="inlineStr"/>
      <c r="D16" s="15" t="n">
        <v>-260000000</v>
      </c>
      <c r="E16" s="15" t="n">
        <v>-180000000</v>
      </c>
    </row>
    <row r="17" ht="23" customHeight="1">
      <c r="A17" s="13" t="inlineStr">
        <is>
          <t>10</t>
        </is>
      </c>
      <c r="B17" s="14" t="inlineStr">
        <is>
          <t xml:space="preserve">   - Tăng/giảm hàng tồn kho</t>
        </is>
      </c>
      <c r="C17" s="13" t="inlineStr"/>
      <c r="D17" s="15" t="n">
        <v>-100000000</v>
      </c>
      <c r="E17" s="15" t="n">
        <v>-80000000</v>
      </c>
    </row>
    <row r="18" ht="23" customHeight="1">
      <c r="A18" s="13" t="inlineStr">
        <is>
          <t>11</t>
        </is>
      </c>
      <c r="B18" s="14" t="inlineStr">
        <is>
          <t xml:space="preserve">   - Tăng/giảm các khoản phải trả (không kể thuế &amp; lãi vay)</t>
        </is>
      </c>
      <c r="C18" s="13" t="inlineStr"/>
      <c r="D18" s="15" t="n">
        <v>110000000</v>
      </c>
      <c r="E18" s="15" t="n">
        <v>95000000</v>
      </c>
    </row>
    <row r="19" ht="23" customHeight="1">
      <c r="A19" s="13" t="inlineStr">
        <is>
          <t>14</t>
        </is>
      </c>
      <c r="B19" s="14" t="inlineStr">
        <is>
          <t xml:space="preserve">   - Tiền lãi vay đã trả</t>
        </is>
      </c>
      <c r="C19" s="13" t="inlineStr"/>
      <c r="D19" s="15" t="n">
        <v>-95000000</v>
      </c>
      <c r="E19" s="15" t="n">
        <v>-72000000</v>
      </c>
    </row>
    <row r="20" ht="23" customHeight="1">
      <c r="A20" s="13" t="inlineStr">
        <is>
          <t>15</t>
        </is>
      </c>
      <c r="B20" s="14" t="inlineStr">
        <is>
          <t xml:space="preserve">   - Thuế thu nhập doanh nghiệp đã nộp</t>
        </is>
      </c>
      <c r="C20" s="13" t="inlineStr"/>
      <c r="D20" s="15" t="n">
        <v>-360000000</v>
      </c>
      <c r="E20" s="15" t="n">
        <v>-290000000</v>
      </c>
    </row>
    <row r="21" ht="23" customHeight="1">
      <c r="A21" s="31" t="inlineStr">
        <is>
          <t>20</t>
        </is>
      </c>
      <c r="B21" s="32" t="inlineStr">
        <is>
          <t>Lưu chuyển tiền thuần từ HĐKD (Mã 20)</t>
        </is>
      </c>
      <c r="C21" s="31" t="inlineStr"/>
      <c r="D21" s="33">
        <f>SUM(D15:D20)</f>
        <v/>
      </c>
      <c r="E21" s="33">
        <f>SUM(E15:E20)</f>
        <v/>
      </c>
    </row>
    <row r="22" ht="26" customHeight="1">
      <c r="A22" s="28" t="inlineStr">
        <is>
          <t>II</t>
        </is>
      </c>
      <c r="B22" s="29" t="inlineStr">
        <is>
          <t>LƯU CHUYỂN TIỀN TỪ HOẠT ĐỘNG ĐẦU TƯ</t>
        </is>
      </c>
      <c r="C22" s="28" t="inlineStr"/>
      <c r="D22" s="30" t="n"/>
      <c r="E22" s="30" t="n"/>
    </row>
    <row r="23" ht="23" customHeight="1">
      <c r="A23" s="13" t="inlineStr">
        <is>
          <t>21</t>
        </is>
      </c>
      <c r="B23" s="14" t="inlineStr">
        <is>
          <t>1. Tiền chi mua sắm, xây dựng TSCĐ và TSDH khác</t>
        </is>
      </c>
      <c r="C23" s="13" t="inlineStr"/>
      <c r="D23" s="15" t="n">
        <v>-1850000000</v>
      </c>
      <c r="E23" s="15" t="n">
        <v>-1450000000</v>
      </c>
    </row>
    <row r="24" ht="23" customHeight="1">
      <c r="A24" s="13" t="inlineStr">
        <is>
          <t>23</t>
        </is>
      </c>
      <c r="B24" s="14" t="inlineStr">
        <is>
          <t>2. Tiền chi cho vay, mua các công cụ nợ (Gửi tiết kiệm)</t>
        </is>
      </c>
      <c r="C24" s="13" t="inlineStr"/>
      <c r="D24" s="15" t="n">
        <v>-500000000</v>
      </c>
      <c r="E24" s="15" t="n">
        <v>-500000000</v>
      </c>
    </row>
    <row r="25" ht="23" customHeight="1">
      <c r="A25" s="13" t="inlineStr">
        <is>
          <t>27</t>
        </is>
      </c>
      <c r="B25" s="14" t="inlineStr">
        <is>
          <t>3. Tiền thu lãi cho vay, cổ tức và lợi nhuận được chia</t>
        </is>
      </c>
      <c r="C25" s="13" t="inlineStr"/>
      <c r="D25" s="15" t="n">
        <v>145000000</v>
      </c>
      <c r="E25" s="15" t="n">
        <v>95000000</v>
      </c>
    </row>
    <row r="26" ht="23" customHeight="1">
      <c r="A26" s="31" t="inlineStr">
        <is>
          <t>30</t>
        </is>
      </c>
      <c r="B26" s="32" t="inlineStr">
        <is>
          <t>Lưu chuyển tiền thuần từ HĐĐT (Mã 30)</t>
        </is>
      </c>
      <c r="C26" s="31" t="inlineStr"/>
      <c r="D26" s="33">
        <f>SUM(D23:D25)</f>
        <v/>
      </c>
      <c r="E26" s="33">
        <f>SUM(E23:E25)</f>
        <v/>
      </c>
    </row>
    <row r="27" ht="26" customHeight="1">
      <c r="A27" s="28" t="inlineStr">
        <is>
          <t>III</t>
        </is>
      </c>
      <c r="B27" s="29" t="inlineStr">
        <is>
          <t>LƯU CHUYỂN TIỀN TỪ HOẠT ĐỘNG TÀI CHÍNH</t>
        </is>
      </c>
      <c r="C27" s="28" t="inlineStr"/>
      <c r="D27" s="30" t="n"/>
      <c r="E27" s="30" t="n"/>
    </row>
    <row r="28" ht="23" customHeight="1">
      <c r="A28" s="13" t="inlineStr">
        <is>
          <t>31</t>
        </is>
      </c>
      <c r="B28" s="14" t="inlineStr">
        <is>
          <t>1. Tiền thu từ phát hành cổ phiếu, nhận vốn góp của CSH</t>
        </is>
      </c>
      <c r="C28" s="13" t="inlineStr"/>
      <c r="D28" s="15" t="n">
        <v>1000000000</v>
      </c>
      <c r="E28" s="15" t="n">
        <v>1000000000</v>
      </c>
    </row>
    <row r="29" ht="23" customHeight="1">
      <c r="A29" s="13" t="inlineStr">
        <is>
          <t>33</t>
        </is>
      </c>
      <c r="B29" s="14" t="inlineStr">
        <is>
          <t>2. Tiền thu từ đi vay ngắn hạn &amp; dài hạn</t>
        </is>
      </c>
      <c r="C29" s="13" t="inlineStr"/>
      <c r="D29" s="15" t="n">
        <v>850000000</v>
      </c>
      <c r="E29" s="15" t="n">
        <v>750000000</v>
      </c>
    </row>
    <row r="30" ht="23" customHeight="1">
      <c r="A30" s="13" t="inlineStr">
        <is>
          <t>34</t>
        </is>
      </c>
      <c r="B30" s="14" t="inlineStr">
        <is>
          <t>3. Tiền trả nợ gốc vay</t>
        </is>
      </c>
      <c r="C30" s="13" t="inlineStr"/>
      <c r="D30" s="15" t="n">
        <v>-810000000</v>
      </c>
      <c r="E30" s="15" t="n">
        <v>-680000000</v>
      </c>
    </row>
    <row r="31" ht="23" customHeight="1">
      <c r="A31" s="13" t="inlineStr">
        <is>
          <t>36</t>
        </is>
      </c>
      <c r="B31" s="14" t="inlineStr">
        <is>
          <t>4. Cổ tức, lợi nhuận đã trả cho chủ sở hữu</t>
        </is>
      </c>
      <c r="C31" s="13" t="inlineStr"/>
      <c r="D31" s="15" t="n">
        <v>-720000000</v>
      </c>
      <c r="E31" s="15" t="n">
        <v>-695000000</v>
      </c>
    </row>
    <row r="32" ht="23" customHeight="1">
      <c r="A32" s="31" t="inlineStr">
        <is>
          <t>40</t>
        </is>
      </c>
      <c r="B32" s="32" t="inlineStr">
        <is>
          <t>Lưu chuyển tiền thuần từ HĐTC (Mã 40)</t>
        </is>
      </c>
      <c r="C32" s="31" t="inlineStr"/>
      <c r="D32" s="33">
        <f>SUM(D28:D31)</f>
        <v/>
      </c>
      <c r="E32" s="33">
        <f>SUM(E28:E31)</f>
        <v/>
      </c>
    </row>
    <row r="33" ht="28" customHeight="1">
      <c r="A33" s="34" t="inlineStr">
        <is>
          <t>50</t>
        </is>
      </c>
      <c r="B33" s="35" t="inlineStr">
        <is>
          <t>LƯU CHUYỂN TIỀN THUẦN TRONG NĂM (50 = 20 + 30 + 40)</t>
        </is>
      </c>
      <c r="C33" s="34" t="inlineStr"/>
      <c r="D33" s="36">
        <f>D21+D26+D32</f>
        <v/>
      </c>
      <c r="E33" s="36">
        <f>E21+E26+E32</f>
        <v/>
      </c>
    </row>
    <row r="34" ht="23" customHeight="1">
      <c r="A34" s="13" t="inlineStr">
        <is>
          <t>60</t>
        </is>
      </c>
      <c r="B34" s="14" t="inlineStr">
        <is>
          <t>Tiền và tương đương tiền đầu năm</t>
        </is>
      </c>
      <c r="C34" s="13" t="inlineStr"/>
      <c r="D34" s="15" t="n">
        <v>1960000000</v>
      </c>
      <c r="E34" s="15" t="n">
        <v>1370000000</v>
      </c>
    </row>
    <row r="35" ht="23" customHeight="1">
      <c r="A35" s="13" t="inlineStr">
        <is>
          <t>61</t>
        </is>
      </c>
      <c r="B35" s="14" t="inlineStr">
        <is>
          <t>Ảnh hưởng của thay đổi tỷ giá hối đoái</t>
        </is>
      </c>
      <c r="C35" s="13" t="inlineStr"/>
      <c r="D35" s="15" t="n">
        <v>0</v>
      </c>
      <c r="E35" s="15" t="n">
        <v>0</v>
      </c>
    </row>
    <row r="36" ht="28" customHeight="1">
      <c r="A36" s="34" t="inlineStr">
        <is>
          <t>70</t>
        </is>
      </c>
      <c r="B36" s="35" t="inlineStr">
        <is>
          <t>TIỀN VÀ TƯƠNG ĐƯƠNG TIỀN CUỐI NĂM (70 = 50 + 60 + 61)</t>
        </is>
      </c>
      <c r="C36" s="34" t="inlineStr">
        <is>
          <t>V.01</t>
        </is>
      </c>
      <c r="D36" s="36">
        <f>D33+D34+D35</f>
        <v/>
      </c>
      <c r="E36" s="36">
        <f>E33+E34+E35</f>
        <v/>
      </c>
    </row>
    <row r="37"/>
    <row r="38"/>
    <row r="39"/>
    <row r="40">
      <c r="B40" s="5" t="inlineStr">
        <is>
          <t>Người lập biểu
(Ký, họ tên)</t>
        </is>
      </c>
      <c r="C40" s="5" t="inlineStr">
        <is>
          <t>Kế toán trưởng
(Ký, họ tên)</t>
        </is>
      </c>
      <c r="E40" s="5" t="inlineStr">
        <is>
          <t>Hà Nội, ngày 15 tháng 01 năm 2027
Tổng Giám đốc
(Ký, đóng dấu)</t>
        </is>
      </c>
    </row>
    <row r="41"/>
    <row r="42"/>
    <row r="43"/>
    <row r="44">
      <c r="B44" s="5" t="inlineStr">
        <is>
          <t>Nguyễn Văn An</t>
        </is>
      </c>
      <c r="C44" s="5" t="inlineStr">
        <is>
          <t>Trần Thị Hồng Nhung</t>
        </is>
      </c>
      <c r="E44" s="5" t="inlineStr">
        <is>
          <t>Lưu Tuấn Anh</t>
        </is>
      </c>
    </row>
  </sheetData>
  <mergeCells count="5">
    <mergeCell ref="A1:C1"/>
    <mergeCell ref="A5:E5"/>
    <mergeCell ref="A3:C3"/>
    <mergeCell ref="A6:E6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1" workbookViewId="0">
      <selection activeCell="A1" sqref="A1"/>
    </sheetView>
  </sheetViews>
  <sheetFormatPr baseColWidth="8" defaultRowHeight="15" outlineLevelCol="0"/>
  <cols>
    <col width="9" customWidth="1" min="1" max="1"/>
    <col width="56" customWidth="1" min="2" max="2"/>
    <col width="28" customWidth="1" min="3" max="3"/>
    <col width="45" customWidth="1" min="4" max="4"/>
    <col width="46" customWidth="1" min="5" max="5"/>
    <col width="32" customWidth="1" min="6" max="6"/>
  </cols>
  <sheetData>
    <row r="1">
      <c r="A1" s="21" t="inlineStr">
        <is>
          <t>CÔNG TY CỔ PHẦN CÔNG NGHỆ CES</t>
        </is>
      </c>
      <c r="E1" s="22" t="inlineStr">
        <is>
          <t>Mẫu số B 09 - DN</t>
        </is>
      </c>
    </row>
    <row r="2">
      <c r="A2" s="23" t="inlineStr">
        <is>
          <t>Địa chỉ: Tầng 6, Tòa nhà CES Tower, Cầu Giấy, TP. Hà Nội</t>
        </is>
      </c>
      <c r="E2" s="24" t="inlineStr">
        <is>
          <t>(Ban hành theo Thông tư số 200/2014/TT-BTC</t>
        </is>
      </c>
    </row>
    <row r="3">
      <c r="A3" s="23" t="inlineStr">
        <is>
          <t>Mã số thuế: 0109876543 | ĐT: (024) 6886 9999</t>
        </is>
      </c>
      <c r="E3" s="24" t="inlineStr">
        <is>
          <t>Ngày 22/12/2014 của Bộ Tài chính)</t>
        </is>
      </c>
    </row>
    <row r="4"/>
    <row r="5" ht="26" customHeight="1">
      <c r="A5" s="25" t="inlineStr">
        <is>
          <t>BẢN THUYẾT MINH BÁO CÁO TÀI CHÍNH CHỌN LỌC</t>
        </is>
      </c>
    </row>
    <row r="6" ht="20" customHeight="1">
      <c r="A6" s="26" t="inlineStr">
        <is>
          <t>Năm 2026</t>
        </is>
      </c>
    </row>
    <row r="7" ht="18" customHeight="1">
      <c r="E7" s="27" t="inlineStr">
        <is>
          <t>Đơn vị tính: Việt Nam đồng (VNĐ)</t>
        </is>
      </c>
    </row>
    <row r="8"/>
    <row r="9" ht="26" customHeight="1">
      <c r="A9" s="4" t="inlineStr">
        <is>
          <t>1. TIỀN VÀ CÁC KHOẢN TƯƠNG ĐƯƠNG TIỀN (Thuyết minh V.01)</t>
        </is>
      </c>
    </row>
    <row r="10" ht="28" customHeight="1">
      <c r="A10" s="8" t="inlineStr">
        <is>
          <t>STT</t>
        </is>
      </c>
      <c r="B10" s="8" t="inlineStr">
        <is>
          <t>Khoản mục</t>
        </is>
      </c>
      <c r="C10" s="8" t="inlineStr">
        <is>
          <t>Số cuối năm (31/12/2026)</t>
        </is>
      </c>
      <c r="D10" s="8" t="inlineStr">
        <is>
          <t>Số đầu năm (01/01/2026)</t>
        </is>
      </c>
      <c r="E10" s="8" t="inlineStr">
        <is>
          <t>Ngân hàng quản lý</t>
        </is>
      </c>
      <c r="F10" s="8" t="inlineStr">
        <is>
          <t>Mục đích sử dụng</t>
        </is>
      </c>
    </row>
    <row r="11" ht="22" customHeight="1">
      <c r="A11" s="13" t="n">
        <v>1</v>
      </c>
      <c r="B11" s="14" t="inlineStr">
        <is>
          <t>Tiền mặt tại quỹ văn phòng</t>
        </is>
      </c>
      <c r="C11" s="15" t="n">
        <v>150000000</v>
      </c>
      <c r="D11" s="15" t="n">
        <v>120000000</v>
      </c>
      <c r="E11" s="14" t="inlineStr">
        <is>
          <t>Thủ quỹ công ty</t>
        </is>
      </c>
      <c r="F11" s="14" t="inlineStr">
        <is>
          <t>Chi tiêu hành chính vặt</t>
        </is>
      </c>
    </row>
    <row r="12" ht="22" customHeight="1">
      <c r="A12" s="13" t="n">
        <v>2</v>
      </c>
      <c r="B12" s="14" t="inlineStr">
        <is>
          <t>Tiền gửi không kỳ hạn - VNĐ</t>
        </is>
      </c>
      <c r="C12" s="15" t="n">
        <v>1850000000</v>
      </c>
      <c r="D12" s="15" t="n">
        <v>1420000000</v>
      </c>
      <c r="E12" s="14" t="inlineStr">
        <is>
          <t>Vietcombank - CN Thăng Long</t>
        </is>
      </c>
      <c r="F12" s="14" t="inlineStr">
        <is>
          <t>Giao dịch thanh toán chính</t>
        </is>
      </c>
    </row>
    <row r="13" ht="22" customHeight="1">
      <c r="A13" s="13" t="n">
        <v>3</v>
      </c>
      <c r="B13" s="14" t="inlineStr">
        <is>
          <t>Tiền gửi thanh toán trực tuyến</t>
        </is>
      </c>
      <c r="C13" s="15" t="n">
        <v>450000000</v>
      </c>
      <c r="D13" s="15" t="n">
        <v>310000000</v>
      </c>
      <c r="E13" s="14" t="inlineStr">
        <is>
          <t>Techcombank - CN Trung Hòa</t>
        </is>
      </c>
      <c r="F13" s="14" t="inlineStr">
        <is>
          <t>Cổng thanh toán SaaS tự động</t>
        </is>
      </c>
    </row>
    <row r="14" ht="24" customHeight="1">
      <c r="A14" s="39" t="inlineStr">
        <is>
          <t>CỘNG TIỀN VÀ TƯƠNG ĐƯƠNG TIỀN</t>
        </is>
      </c>
      <c r="B14" s="39" t="n"/>
      <c r="C14" s="40">
        <f>SUM(C11:C13)</f>
        <v/>
      </c>
      <c r="D14" s="40">
        <f>SUM(D11:D13)</f>
        <v/>
      </c>
      <c r="E14" s="39" t="n"/>
      <c r="F14" s="39" t="n"/>
    </row>
    <row r="15"/>
    <row r="16" ht="26" customHeight="1">
      <c r="A16" s="4" t="inlineStr">
        <is>
          <t>2. PHẢI THU NGẮN HẠN CỦA KHÁCH HÀNG &amp; PHÂN TÍCH TUỔI NỢ (Thuyết minh V.03a &amp; V.03b)</t>
        </is>
      </c>
    </row>
    <row r="17" ht="28" customHeight="1">
      <c r="A17" s="8" t="inlineStr">
        <is>
          <t>Mã KH</t>
        </is>
      </c>
      <c r="B17" s="8" t="inlineStr">
        <is>
          <t>Tên khách hàng / Đối tác</t>
        </is>
      </c>
      <c r="C17" s="8" t="inlineStr">
        <is>
          <t>Số dư nợ 31/12/2026</t>
        </is>
      </c>
      <c r="D17" s="8" t="inlineStr">
        <is>
          <t>Trong hạn</t>
        </is>
      </c>
      <c r="E17" s="8" t="inlineStr">
        <is>
          <t>Quá hạn (Báo động)</t>
        </is>
      </c>
      <c r="F17" s="8" t="inlineStr">
        <is>
          <t>Dự phòng đã trích</t>
        </is>
      </c>
    </row>
    <row r="18" ht="22" customHeight="1">
      <c r="A18" s="13" t="inlineStr">
        <is>
          <t>KH001</t>
        </is>
      </c>
      <c r="B18" s="14" t="inlineStr">
        <is>
          <t>Công ty CP Tập đoàn Đại Tín (HĐ gia hạn 28/02)</t>
        </is>
      </c>
      <c r="C18" s="15" t="n">
        <v>350000000</v>
      </c>
      <c r="D18" s="15" t="n">
        <v>350000000</v>
      </c>
      <c r="E18" s="15" t="n">
        <v>0</v>
      </c>
      <c r="F18" s="15" t="n">
        <v>0</v>
      </c>
    </row>
    <row r="19" ht="22" customHeight="1">
      <c r="A19" s="13" t="inlineStr">
        <is>
          <t>KH002</t>
        </is>
      </c>
      <c r="B19" s="14" t="inlineStr">
        <is>
          <t>Công ty TNHH Giải pháp Sao Mai</t>
        </is>
      </c>
      <c r="C19" s="15" t="n">
        <v>275000000</v>
      </c>
      <c r="D19" s="15" t="n">
        <v>0</v>
      </c>
      <c r="E19" s="41" t="n">
        <v>275000000</v>
      </c>
      <c r="F19" s="15" t="n">
        <v>55000000</v>
      </c>
    </row>
    <row r="20" ht="22" customHeight="1">
      <c r="A20" s="13" t="inlineStr">
        <is>
          <t>KH003</t>
        </is>
      </c>
      <c r="B20" s="14" t="inlineStr">
        <is>
          <t>Tổng Công ty Dược An Phát</t>
        </is>
      </c>
      <c r="C20" s="15" t="n">
        <v>195000000</v>
      </c>
      <c r="D20" s="15" t="n">
        <v>195000000</v>
      </c>
      <c r="E20" s="15" t="n">
        <v>0</v>
      </c>
      <c r="F20" s="15" t="n">
        <v>0</v>
      </c>
    </row>
    <row r="21" ht="22" customHeight="1">
      <c r="A21" s="13" t="inlineStr">
        <is>
          <t>KH004</t>
        </is>
      </c>
      <c r="B21" s="14" t="inlineStr">
        <is>
          <t>Công ty CP Bán lẻ Hoàng Kim</t>
        </is>
      </c>
      <c r="C21" s="15" t="n">
        <v>165000000</v>
      </c>
      <c r="D21" s="15" t="n">
        <v>165000000</v>
      </c>
      <c r="E21" s="15" t="n">
        <v>0</v>
      </c>
      <c r="F21" s="15" t="n">
        <v>0</v>
      </c>
    </row>
    <row r="22" ht="22" customHeight="1">
      <c r="A22" s="13" t="inlineStr">
        <is>
          <t>KH005</t>
        </is>
      </c>
      <c r="B22" s="14" t="inlineStr">
        <is>
          <t>Các khách hàng doanh nghiệp SME khác (152 KH)</t>
        </is>
      </c>
      <c r="C22" s="15" t="n">
        <v>255000000</v>
      </c>
      <c r="D22" s="15" t="n">
        <v>255000000</v>
      </c>
      <c r="E22" s="15" t="n">
        <v>0</v>
      </c>
      <c r="F22" s="15" t="n">
        <v>0</v>
      </c>
    </row>
    <row r="23" ht="24" customHeight="1">
      <c r="A23" s="39" t="inlineStr">
        <is>
          <t>TỔNG CỘNG PHẢI THU KHÁCH HÀNG</t>
        </is>
      </c>
      <c r="B23" s="39" t="n"/>
      <c r="C23" s="40">
        <f>SUM(C18:C22)</f>
        <v/>
      </c>
      <c r="D23" s="40">
        <f>SUM(D18:D22)</f>
        <v/>
      </c>
      <c r="E23" s="40">
        <f>SUM(E18:E22)</f>
        <v/>
      </c>
      <c r="F23" s="40">
        <f>SUM(F18:F22)</f>
        <v/>
      </c>
    </row>
    <row r="24"/>
    <row r="25" ht="26" customHeight="1">
      <c r="A25" s="4" t="inlineStr">
        <is>
          <t>3. DOANH THU BÁN HÀNG &amp; DỊCH VỤ THEO PHÂN KHÚC (Thuyết minh VI.01)</t>
        </is>
      </c>
    </row>
    <row r="26" ht="28" customHeight="1">
      <c r="A26" s="8" t="inlineStr">
        <is>
          <t>STT</t>
        </is>
      </c>
      <c r="B26" s="8" t="inlineStr">
        <is>
          <t>Phân khúc sản phẩm / Dịch vụ</t>
        </is>
      </c>
      <c r="C26" s="8" t="inlineStr">
        <is>
          <t>Doanh thu năm 2026</t>
        </is>
      </c>
      <c r="D26" s="8" t="inlineStr">
        <is>
          <t>Tỷ trọng (%)</t>
        </is>
      </c>
      <c r="E26" s="8" t="inlineStr">
        <is>
          <t>Doanh thu năm 2025</t>
        </is>
      </c>
      <c r="F26" s="8" t="inlineStr">
        <is>
          <t>Tăng trưởng</t>
        </is>
      </c>
    </row>
    <row r="27" ht="22" customHeight="1">
      <c r="A27" s="13" t="n">
        <v>1</v>
      </c>
      <c r="B27" s="14" t="inlineStr">
        <is>
          <t>Gói Cao cấp (Doanh nghiệp lớn &amp; Tập đoàn)</t>
        </is>
      </c>
      <c r="C27" s="15" t="n">
        <v>5268900000</v>
      </c>
      <c r="D27" s="16">
        <f>C27/$C$32</f>
        <v/>
      </c>
      <c r="E27" s="15" t="n">
        <v>4394000000</v>
      </c>
      <c r="F27" s="16">
        <f>(C27-E27)/E27</f>
        <v/>
      </c>
    </row>
    <row r="28" ht="22" customHeight="1">
      <c r="A28" s="13" t="n">
        <v>2</v>
      </c>
      <c r="B28" s="14" t="inlineStr">
        <is>
          <t>Gói Tiêu chuẩn (Doanh nghiệp SME 10-50 nhân sự)</t>
        </is>
      </c>
      <c r="C28" s="15" t="n">
        <v>4139850000</v>
      </c>
      <c r="D28" s="16">
        <f>C28/$C$32</f>
        <v/>
      </c>
      <c r="E28" s="15" t="n">
        <v>3844750000</v>
      </c>
      <c r="F28" s="16">
        <f>(C28-E28)/E28</f>
        <v/>
      </c>
    </row>
    <row r="29" ht="22" customHeight="1">
      <c r="A29" s="13" t="n">
        <v>3</v>
      </c>
      <c r="B29" s="14" t="inlineStr">
        <is>
          <t>Gói Cơ bản &amp; Thuê bao SaaS</t>
        </is>
      </c>
      <c r="C29" s="15" t="n">
        <v>1630850000</v>
      </c>
      <c r="D29" s="16">
        <f>C29/$C$32</f>
        <v/>
      </c>
      <c r="E29" s="15" t="n">
        <v>1428050000</v>
      </c>
      <c r="F29" s="16">
        <f>(C29-E29)/E29</f>
        <v/>
      </c>
    </row>
    <row r="30" ht="22" customHeight="1">
      <c r="A30" s="13" t="n">
        <v>4</v>
      </c>
      <c r="B30" s="14" t="inlineStr">
        <is>
          <t>Dịch vụ tích hợp AI Workspace, Đào tạo &amp; Bàn giao</t>
        </is>
      </c>
      <c r="C30" s="15" t="n">
        <v>985400000</v>
      </c>
      <c r="D30" s="16">
        <f>C30/$C$32</f>
        <v/>
      </c>
      <c r="E30" s="15" t="n">
        <v>818200000</v>
      </c>
      <c r="F30" s="16">
        <f>(C30-E30)/E30</f>
        <v/>
      </c>
    </row>
    <row r="31" ht="22" customHeight="1">
      <c r="A31" s="13" t="n">
        <v>5</v>
      </c>
      <c r="B31" s="14" t="inlineStr">
        <is>
          <t>Phí duy trì, bảo trì định kỳ và hỗ trợ kỹ thuật 24/7</t>
        </is>
      </c>
      <c r="C31" s="15" t="n">
        <v>520000000</v>
      </c>
      <c r="D31" s="16">
        <f>C31/$C$32</f>
        <v/>
      </c>
      <c r="E31" s="15" t="n">
        <v>500000000</v>
      </c>
      <c r="F31" s="16">
        <f>(C31-E31)/E31</f>
        <v/>
      </c>
    </row>
    <row r="32" ht="25" customHeight="1">
      <c r="A32" s="39" t="inlineStr">
        <is>
          <t>TỔNG CỘNG DOANH THU THUẦN</t>
        </is>
      </c>
      <c r="B32" s="39" t="n"/>
      <c r="C32" s="40">
        <f>SUM(C27:C31)</f>
        <v/>
      </c>
      <c r="D32" s="42">
        <f>SUM(D{curr_tm-len(tm_rev)}:D{curr_tm-1})</f>
        <v/>
      </c>
      <c r="E32" s="40">
        <f>SUM(E27:E31)</f>
        <v/>
      </c>
      <c r="F32" s="42">
        <f>(C32-E32)/E32</f>
        <v/>
      </c>
    </row>
  </sheetData>
  <mergeCells count="11">
    <mergeCell ref="A16:F16"/>
    <mergeCell ref="A1:C1"/>
    <mergeCell ref="A9:F9"/>
    <mergeCell ref="A32:B32"/>
    <mergeCell ref="A5:E5"/>
    <mergeCell ref="A3:C3"/>
    <mergeCell ref="A14:B14"/>
    <mergeCell ref="A23:B23"/>
    <mergeCell ref="A6:E6"/>
    <mergeCell ref="A2:C2"/>
    <mergeCell ref="A25:F2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1" workbookViewId="0">
      <selection activeCell="A1" sqref="A1"/>
    </sheetView>
  </sheetViews>
  <sheetFormatPr baseColWidth="8" defaultRowHeight="15" outlineLevelCol="0"/>
  <cols>
    <col width="7" customWidth="1" min="1" max="1"/>
    <col width="55" customWidth="1" min="2" max="2"/>
    <col width="49" customWidth="1" min="3" max="3"/>
    <col width="126" customWidth="1" min="4" max="4"/>
    <col width="126" customWidth="1" min="5" max="5"/>
    <col width="20" customWidth="1" min="6" max="6"/>
    <col width="45" customWidth="1" min="7" max="7"/>
  </cols>
  <sheetData>
    <row r="1">
      <c r="A1" s="21" t="inlineStr">
        <is>
          <t>CÔNG TY CỔ PHẦN CÔNG NGHỆ CES</t>
        </is>
      </c>
      <c r="E1" s="22" t="inlineStr">
        <is>
          <t>Mẫu số QT - 01</t>
        </is>
      </c>
    </row>
    <row r="2">
      <c r="A2" s="23" t="inlineStr">
        <is>
          <t>Địa chỉ: Tầng 6, Tòa nhà CES Tower, Cầu Giấy, TP. Hà Nội</t>
        </is>
      </c>
      <c r="E2" s="24" t="inlineStr">
        <is>
          <t>(Ban hành theo Thông tư số 200/2014/TT-BTC</t>
        </is>
      </c>
    </row>
    <row r="3">
      <c r="A3" s="23" t="inlineStr">
        <is>
          <t>Mã số thuế: 0109876543 | ĐT: (024) 6886 9999</t>
        </is>
      </c>
      <c r="E3" s="24" t="inlineStr">
        <is>
          <t>Ngày 22/12/2014 của Bộ Tài chính)</t>
        </is>
      </c>
    </row>
    <row r="4"/>
    <row r="5" ht="26" customHeight="1">
      <c r="A5" s="25" t="inlineStr">
        <is>
          <t>BÁO CÁO PHÂN TÍCH CHỈ SỐ TÀI CHÍNH DOANH NGHIỆP</t>
        </is>
      </c>
    </row>
    <row r="6" ht="20" customHeight="1">
      <c r="A6" s="26" t="inlineStr">
        <is>
          <t>Giai đoạn 2025 - 2026</t>
        </is>
      </c>
    </row>
    <row r="7" ht="18" customHeight="1">
      <c r="E7" s="27" t="inlineStr">
        <is>
          <t>Đơn vị tính: Tỷ lệ &amp; Lần</t>
        </is>
      </c>
    </row>
    <row r="8" ht="28" customHeight="1">
      <c r="A8" s="8" t="inlineStr">
        <is>
          <t>STT</t>
        </is>
      </c>
      <c r="B8" s="8" t="inlineStr">
        <is>
          <t>Nhóm chỉ tiêu / Chỉ số tài chính</t>
        </is>
      </c>
      <c r="C8" s="8" t="inlineStr">
        <is>
          <t>Công thức tính</t>
        </is>
      </c>
      <c r="D8" s="8" t="inlineStr">
        <is>
          <t>Năm 2026</t>
        </is>
      </c>
      <c r="E8" s="8" t="inlineStr">
        <is>
          <t>Năm 2025</t>
        </is>
      </c>
      <c r="F8" s="8" t="inlineStr">
        <is>
          <t>Chuẩn ngành CNTT</t>
        </is>
      </c>
      <c r="G8" s="8" t="inlineStr">
        <is>
          <t>Đánh giá &amp; Khuyến nghị</t>
        </is>
      </c>
    </row>
    <row r="9" ht="26" customHeight="1">
      <c r="A9" s="28" t="inlineStr">
        <is>
          <t>I</t>
        </is>
      </c>
      <c r="B9" s="29" t="inlineStr">
        <is>
          <t>NHÓM CHỈ SỐ KHẢ NĂNG THANH TOÁN (LIQUIDITY)</t>
        </is>
      </c>
      <c r="C9" s="29" t="inlineStr"/>
      <c r="D9" s="43" t="n"/>
      <c r="E9" s="43" t="n"/>
      <c r="F9" s="28" t="n"/>
      <c r="G9" s="29" t="n"/>
    </row>
    <row r="10" ht="24" customHeight="1">
      <c r="A10" s="9" t="inlineStr">
        <is>
          <t>1</t>
        </is>
      </c>
      <c r="B10" s="10" t="inlineStr">
        <is>
          <t>Hệ số thanh toán hiện hành (Current Ratio)</t>
        </is>
      </c>
      <c r="C10" s="10" t="inlineStr">
        <is>
          <t>TS ngắn hạn / Nợ ngắn hạn</t>
        </is>
      </c>
      <c r="D10" s="44">
        <f>'2. Bang Can Doi Ke Toan'!D9/'2. Bang Can Doi Ke Toan'!D33</f>
        <v/>
      </c>
      <c r="E10" s="44">
        <f>'2. Bang Can Doi Ke Toan'!E9/'2. Bang Can Doi Ke Toan'!E33</f>
        <v/>
      </c>
      <c r="F10" s="9" t="inlineStr">
        <is>
          <t>2.0 - 3.0</t>
        </is>
      </c>
      <c r="G10" s="10" t="inlineStr">
        <is>
          <t>Rất tốt; đảm bảo trả nợ an toàn</t>
        </is>
      </c>
    </row>
    <row r="11" ht="24" customHeight="1">
      <c r="A11" s="13" t="inlineStr">
        <is>
          <t>2</t>
        </is>
      </c>
      <c r="B11" s="14" t="inlineStr">
        <is>
          <t>Hệ số thanh toán nhanh (Quick Ratio)</t>
        </is>
      </c>
      <c r="C11" s="14" t="inlineStr">
        <is>
          <t>(Tiền + ĐT ngắn hạn + Phải thu) / Nợ ngắn hạn</t>
        </is>
      </c>
      <c r="D11" s="17">
        <f>('2. Bang Can Doi Ke Toan'!D10+'2. Bang Can Doi Ke Toan'!D13+'2. Bang Can Doi Ke Toan'!D14)/'2. Bang Can Doi Ke Toan'!D33</f>
        <v/>
      </c>
      <c r="E11" s="17">
        <f>('2. Bang Can Doi Ke Toan'!E10+'2. Bang Can Doi Ke Toan'!E13+'2. Bang Can Doi Ke Toan'!E14)/'2. Bang Can Doi Ke Toan'!E33</f>
        <v/>
      </c>
      <c r="F11" s="13" t="inlineStr">
        <is>
          <t>&gt; 1.5</t>
        </is>
      </c>
      <c r="G11" s="14" t="inlineStr">
        <is>
          <t>Tuyệt vời; không phụ thuộc hàng tồn kho</t>
        </is>
      </c>
    </row>
    <row r="12" ht="24" customHeight="1">
      <c r="A12" s="13" t="inlineStr">
        <is>
          <t>3</t>
        </is>
      </c>
      <c r="B12" s="14" t="inlineStr">
        <is>
          <t>Hệ số thanh toán tức thời (Cash Ratio)</t>
        </is>
      </c>
      <c r="C12" s="14" t="inlineStr">
        <is>
          <t>Tiền và tương đương tiền / Nợ ngắn hạn</t>
        </is>
      </c>
      <c r="D12" s="17">
        <f>'2. Bang Can Doi Ke Toan'!D10/'2. Bang Can Doi Ke Toan'!D33</f>
        <v/>
      </c>
      <c r="E12" s="17">
        <f>'2. Bang Can Doi Ke Toan'!E10/'2. Bang Can Doi Ke Toan'!E33</f>
        <v/>
      </c>
      <c r="F12" s="13" t="inlineStr">
        <is>
          <t>&gt; 0.5</t>
        </is>
      </c>
      <c r="G12" s="14" t="inlineStr">
        <is>
          <t>Thừa khả năng thanh toán nợ đến hạn</t>
        </is>
      </c>
    </row>
    <row r="13" ht="26" customHeight="1">
      <c r="A13" s="28" t="inlineStr">
        <is>
          <t>II</t>
        </is>
      </c>
      <c r="B13" s="29" t="inlineStr">
        <is>
          <t>NHÓM CHỈ SỐ CƠ CẤU VỐN &amp; ĐÒN BẨY (LEVERAGE)</t>
        </is>
      </c>
      <c r="C13" s="29" t="inlineStr"/>
      <c r="D13" s="43" t="n"/>
      <c r="E13" s="43" t="n"/>
      <c r="F13" s="28" t="n"/>
      <c r="G13" s="29" t="n"/>
    </row>
    <row r="14" ht="24" customHeight="1">
      <c r="A14" s="9" t="inlineStr">
        <is>
          <t>4</t>
        </is>
      </c>
      <c r="B14" s="10" t="inlineStr">
        <is>
          <t>Hệ số Nợ trên Tổng tài sản (Debt/Assets)</t>
        </is>
      </c>
      <c r="C14" s="10" t="inlineStr">
        <is>
          <t>Tổng nợ phải trả / Tổng tài sản</t>
        </is>
      </c>
      <c r="D14" s="12">
        <f>'2. Bang Can Doi Ke Toan'!D32/'2. Bang Can Doi Ke Toan'!D31</f>
        <v/>
      </c>
      <c r="E14" s="12">
        <f>'2. Bang Can Doi Ke Toan'!E32/'2. Bang Can Doi Ke Toan'!E31</f>
        <v/>
      </c>
      <c r="F14" s="9" t="inlineStr">
        <is>
          <t>&lt; 40%</t>
        </is>
      </c>
      <c r="G14" s="10" t="inlineStr">
        <is>
          <t>Rủi ro tài chính rất thấp, nợ chỉ 20%</t>
        </is>
      </c>
    </row>
    <row r="15" ht="24" customHeight="1">
      <c r="A15" s="13" t="inlineStr">
        <is>
          <t>5</t>
        </is>
      </c>
      <c r="B15" s="14" t="inlineStr">
        <is>
          <t>Hệ số Nợ trên Vốn chủ sở hữu (D/E)</t>
        </is>
      </c>
      <c r="C15" s="14" t="inlineStr">
        <is>
          <t>Tổng nợ phải trả / Vốn CSH</t>
        </is>
      </c>
      <c r="D15" s="16">
        <f>'2. Bang Can Doi Ke Toan'!D32/'2. Bang Can Doi Ke Toan'!D40</f>
        <v/>
      </c>
      <c r="E15" s="16">
        <f>'2. Bang Can Doi Ke Toan'!E32/'2. Bang Can Doi Ke Toan'!E40</f>
        <v/>
      </c>
      <c r="F15" s="13" t="inlineStr">
        <is>
          <t>&lt; 1.0</t>
        </is>
      </c>
      <c r="G15" s="14" t="inlineStr">
        <is>
          <t>Doanh nghiệp tự chủ tài chính vững chắc</t>
        </is>
      </c>
    </row>
    <row r="16" ht="24" customHeight="1">
      <c r="A16" s="13" t="inlineStr">
        <is>
          <t>6</t>
        </is>
      </c>
      <c r="B16" s="14" t="inlineStr">
        <is>
          <t>Hệ số khả năng chi trả lãi vay (ICR)</t>
        </is>
      </c>
      <c r="C16" s="14" t="inlineStr">
        <is>
          <t>EBIT / Chi phí lãi vay</t>
        </is>
      </c>
      <c r="D16" s="45">
        <f>('3. KQKD'!D23+'3. KQKD'!D16)/'3. KQKD'!D16</f>
        <v/>
      </c>
      <c r="E16" s="45">
        <f>('3. KQKD'!E23+'3. KQKD'!E16)/'3. KQKD'!E16</f>
        <v/>
      </c>
      <c r="F16" s="13" t="inlineStr">
        <is>
          <t>&gt; 5.0 lần</t>
        </is>
      </c>
      <c r="G16" s="14" t="inlineStr">
        <is>
          <t>Lợi nhuận gấp 20 lần lãi vay ngân hàng</t>
        </is>
      </c>
    </row>
    <row r="17" ht="26" customHeight="1">
      <c r="A17" s="28" t="inlineStr">
        <is>
          <t>III</t>
        </is>
      </c>
      <c r="B17" s="29" t="inlineStr">
        <is>
          <t>NHÓM CHỈ SỐ HIỆU QUẢ HOẠT ĐỘNG (EFFICIENCY)</t>
        </is>
      </c>
      <c r="C17" s="29" t="inlineStr"/>
      <c r="D17" s="43" t="n"/>
      <c r="E17" s="43" t="n"/>
      <c r="F17" s="28" t="n"/>
      <c r="G17" s="29" t="n"/>
    </row>
    <row r="18" ht="24" customHeight="1">
      <c r="A18" s="13" t="inlineStr">
        <is>
          <t>7</t>
        </is>
      </c>
      <c r="B18" s="14" t="inlineStr">
        <is>
          <t>Vòng quay các khoản phải thu (Receivables Turnover)</t>
        </is>
      </c>
      <c r="C18" s="14" t="inlineStr">
        <is>
          <t>Doanh thu thuần / Phải thu bình quân</t>
        </is>
      </c>
      <c r="D18" s="17">
        <f>'3. KQKD'!D11/(('2. Bang Can Doi Ke Toan'!D14+'2. Bang Can Doi Ke Toan'!E14)/2)</f>
        <v/>
      </c>
      <c r="E18" s="17">
        <f>'3. KQKD'!E11/'2. Bang Can Doi Ke Toan'!E14</f>
        <v/>
      </c>
      <c r="F18" s="13" t="inlineStr">
        <is>
          <t>8.0 - 12.0</t>
        </is>
      </c>
      <c r="G18" s="14" t="inlineStr">
        <is>
          <t>Tốc độ thu hồi tiền nhanh, 10 vòng/năm</t>
        </is>
      </c>
    </row>
    <row r="19" ht="24" customHeight="1">
      <c r="A19" s="13" t="inlineStr">
        <is>
          <t>8</t>
        </is>
      </c>
      <c r="B19" s="14" t="inlineStr">
        <is>
          <t>Kỳ thu tiền bình quân (DSO)</t>
        </is>
      </c>
      <c r="C19" s="14" t="inlineStr">
        <is>
          <t>365 / Vòng quay khoản phải thu</t>
        </is>
      </c>
      <c r="D19" s="46">
        <f>365/D18</f>
        <v/>
      </c>
      <c r="E19" s="46">
        <f>365/E18</f>
        <v/>
      </c>
      <c r="F19" s="13" t="inlineStr">
        <is>
          <t>30 - 45 ngày</t>
        </is>
      </c>
      <c r="G19" s="14" t="inlineStr">
        <is>
          <t>Khoảng 36 ngày; cần siết nợ Sao Mai</t>
        </is>
      </c>
    </row>
    <row r="20" ht="24" customHeight="1">
      <c r="A20" s="13" t="inlineStr">
        <is>
          <t>9</t>
        </is>
      </c>
      <c r="B20" s="14" t="inlineStr">
        <is>
          <t>Vòng quay Tổng tài sản (Asset Turnover)</t>
        </is>
      </c>
      <c r="C20" s="14" t="inlineStr">
        <is>
          <t>Doanh thu thuần / Tổng TS bình quân</t>
        </is>
      </c>
      <c r="D20" s="17">
        <f>'3. KQKD'!D11/(('2. Bang Can Doi Ke Toan'!D31+'2. Bang Can Doi Ke Toan'!E31)/2)</f>
        <v/>
      </c>
      <c r="E20" s="17">
        <f>'3. KQKD'!E11/'2. Bang Can Doi Ke Toan'!E31</f>
        <v/>
      </c>
      <c r="F20" s="13" t="inlineStr">
        <is>
          <t>1.0 - 1.5</t>
        </is>
      </c>
      <c r="G20" s="14" t="inlineStr">
        <is>
          <t>Hiệu suất sử dụng tài sản tốt</t>
        </is>
      </c>
    </row>
    <row r="21" ht="26" customHeight="1">
      <c r="A21" s="28" t="inlineStr">
        <is>
          <t>IV</t>
        </is>
      </c>
      <c r="B21" s="29" t="inlineStr">
        <is>
          <t>NHÓM CHỈ SỐ KHẢ NĂNG SINH LỜI (PROFITABILITY)</t>
        </is>
      </c>
      <c r="C21" s="29" t="inlineStr"/>
      <c r="D21" s="43" t="n"/>
      <c r="E21" s="43" t="n"/>
      <c r="F21" s="28" t="n"/>
      <c r="G21" s="29" t="n"/>
    </row>
    <row r="22" ht="24" customHeight="1">
      <c r="A22" s="9" t="inlineStr">
        <is>
          <t>10</t>
        </is>
      </c>
      <c r="B22" s="10" t="inlineStr">
        <is>
          <t>Tỷ suất Lợi nhuận gộp (Gross Margin)</t>
        </is>
      </c>
      <c r="C22" s="10" t="inlineStr">
        <is>
          <t>Lợi nhuận gộp / Doanh thu thuần</t>
        </is>
      </c>
      <c r="D22" s="12">
        <f>'3. KQKD'!D13/'3. KQKD'!D11</f>
        <v/>
      </c>
      <c r="E22" s="12">
        <f>'3. KQKD'!E13/'3. KQKD'!E11</f>
        <v/>
      </c>
      <c r="F22" s="9" t="inlineStr">
        <is>
          <t>40% - 50%</t>
        </is>
      </c>
      <c r="G22" s="10" t="inlineStr">
        <is>
          <t>Biên lãi gộp 45% chuẩn ngành SaaS cao cấp</t>
        </is>
      </c>
    </row>
    <row r="23" ht="24" customHeight="1">
      <c r="A23" s="9" t="inlineStr">
        <is>
          <t>11</t>
        </is>
      </c>
      <c r="B23" s="10" t="inlineStr">
        <is>
          <t>Tỷ suất Sinh lời trên Doanh thu (ROS)</t>
        </is>
      </c>
      <c r="C23" s="10" t="inlineStr">
        <is>
          <t>Lợi nhuận sau thuế / Doanh thu thuần</t>
        </is>
      </c>
      <c r="D23" s="12">
        <f>'3. KQKD'!D26/'3. KQKD'!D11</f>
        <v/>
      </c>
      <c r="E23" s="12">
        <f>'3. KQKD'!E26/'3. KQKD'!E11</f>
        <v/>
      </c>
      <c r="F23" s="9" t="inlineStr">
        <is>
          <t>10% - 15%</t>
        </is>
      </c>
      <c r="G23" s="10" t="inlineStr">
        <is>
          <t>12.0%; tăng trưởng lành mạnh</t>
        </is>
      </c>
    </row>
    <row r="24" ht="24" customHeight="1">
      <c r="A24" s="13" t="inlineStr">
        <is>
          <t>12</t>
        </is>
      </c>
      <c r="B24" s="14" t="inlineStr">
        <is>
          <t>Tỷ suất Sinh lời trên Tài sản (ROA)</t>
        </is>
      </c>
      <c r="C24" s="14" t="inlineStr">
        <is>
          <t>LNST / Tổng tài sản bình quân</t>
        </is>
      </c>
      <c r="D24" s="16">
        <f>'3. KQKD'!D26/(('2. Bang Can Doi Ke Toan'!D31+'2. Bang Can Doi Ke Toan'!E31)/2)</f>
        <v/>
      </c>
      <c r="E24" s="16">
        <f>'3. KQKD'!E26/'2. Bang Can Doi Ke Toan'!E31</f>
        <v/>
      </c>
      <c r="F24" s="13" t="inlineStr">
        <is>
          <t>&gt; 10%</t>
        </is>
      </c>
      <c r="G24" s="14" t="inlineStr">
        <is>
          <t>13.6%; 100 đồng tài sản tạo 13.6 đồng lãi</t>
        </is>
      </c>
    </row>
    <row r="25" ht="24" customHeight="1">
      <c r="A25" s="9" t="inlineStr">
        <is>
          <t>13</t>
        </is>
      </c>
      <c r="B25" s="10" t="inlineStr">
        <is>
          <t>Tỷ suất Sinh lời trên Vốn CSH (ROE)</t>
        </is>
      </c>
      <c r="C25" s="10" t="inlineStr">
        <is>
          <t>LNST / Vốn CSH bình quân</t>
        </is>
      </c>
      <c r="D25" s="12">
        <f>'3. KQKD'!D26/(('2. Bang Can Doi Ke Toan'!D40+'2. Bang Can Doi Ke Toan'!E40)/2)</f>
        <v/>
      </c>
      <c r="E25" s="12">
        <f>'3. KQKD'!E26/'2. Bang Can Doi Ke Toan'!E40</f>
        <v/>
      </c>
      <c r="F25" s="9" t="inlineStr">
        <is>
          <t>&gt; 15%</t>
        </is>
      </c>
      <c r="G25" s="10" t="inlineStr">
        <is>
          <t>17.2%; hiệu quả đầu tư vốn vượt trội</t>
        </is>
      </c>
    </row>
    <row r="26"/>
    <row r="27" ht="26" customHeight="1">
      <c r="A27" s="4" t="inlineStr">
        <is>
          <t>V. KẾT LUẬN &amp; KIẾN NGHỊ QUẢN TRỊ TÀI CHÍNH NĂM 2027</t>
        </is>
      </c>
    </row>
    <row r="28" ht="22" customHeight="1">
      <c r="A28" s="7" t="inlineStr">
        <is>
          <t>1. Sức khỏe tài chính tổng thể: Cực kỳ lành mạnh với biên lợi nhuận gộp 45%, tỷ suất ROE đạt 17,2% và ROA đạt 13,6%.</t>
        </is>
      </c>
    </row>
    <row r="29" ht="22" customHeight="1">
      <c r="A29" s="7" t="inlineStr">
        <is>
          <t>2. Khả năng tự chủ tài chính: Tỷ lệ nợ chỉ chiếm 20,4% tổng tài sản, không gặp bất kỳ áp lực thanh khoản nào.</t>
        </is>
      </c>
    </row>
    <row r="30" ht="22" customHeight="1">
      <c r="A30" s="6" t="inlineStr">
        <is>
          <t>3. Điểm lưu ý trọng tâm năm 2027: Cần quyết liệt thu hồi khoản nợ quá hạn 275 triệu đồng của Công ty Sao Mai và gửi văn bản đàm phán hợp đồng Đại Tín trước ngày 28/02/2027.</t>
        </is>
      </c>
    </row>
  </sheetData>
  <mergeCells count="9">
    <mergeCell ref="A1:C1"/>
    <mergeCell ref="A27:G27"/>
    <mergeCell ref="A30:G30"/>
    <mergeCell ref="A5:E5"/>
    <mergeCell ref="A3:C3"/>
    <mergeCell ref="A29:G29"/>
    <mergeCell ref="A6:E6"/>
    <mergeCell ref="A2:C2"/>
    <mergeCell ref="A28:G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2026-09-09T13:56:48Z</dcterms:created>
  <dcterms:modified xmlns:dcterms="http://purl.org/dc/terms/" xmlns:xsi="http://www.w3.org/2001/XMLSchema-instance" xsi:type="dcterms:W3CDTF">2026-09-09T13:56:48Z</dcterms:modified>
</cp:coreProperties>
</file>