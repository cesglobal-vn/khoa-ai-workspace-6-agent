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GitHub\khoa-ai-workspace-6-agent\03-buoi-03-phan-tich-du-lieu-mcp-routine\demo\"/>
    </mc:Choice>
  </mc:AlternateContent>
  <xr:revisionPtr revIDLastSave="0" documentId="8_{3E76ED12-7351-436A-B2D3-1C77D847CB7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1. Thong tin chung" sheetId="1" r:id="rId1"/>
    <sheet name="2. Bang Can Doi Ke Toan" sheetId="2" r:id="rId2"/>
    <sheet name="3. KQKD" sheetId="3" r:id="rId3"/>
    <sheet name="4. Luu Chuyen Tien Te" sheetId="4" r:id="rId4"/>
    <sheet name="5. Thuyet Minh BCTC" sheetId="5" r:id="rId5"/>
    <sheet name="6. Phan Tich Tai Chinh" sheetId="6" r:id="rId6"/>
  </sheets>
  <calcPr calcId="191029"/>
  <fileRecoveryPr repairLoad="1"/>
</workbook>
</file>

<file path=xl/calcChain.xml><?xml version="1.0" encoding="utf-8"?>
<calcChain xmlns="http://schemas.openxmlformats.org/spreadsheetml/2006/main">
  <c r="E18" i="6" l="1"/>
  <c r="E19" i="6" s="1"/>
  <c r="E12" i="6"/>
  <c r="D12" i="6"/>
  <c r="E32" i="5"/>
  <c r="C32" i="5"/>
  <c r="D27" i="5" s="1"/>
  <c r="F31" i="5"/>
  <c r="F30" i="5"/>
  <c r="F29" i="5"/>
  <c r="F28" i="5"/>
  <c r="F27" i="5"/>
  <c r="F23" i="5"/>
  <c r="E23" i="5"/>
  <c r="D23" i="5"/>
  <c r="C23" i="5"/>
  <c r="D14" i="5"/>
  <c r="C14" i="5"/>
  <c r="E32" i="4"/>
  <c r="D32" i="4"/>
  <c r="E26" i="4"/>
  <c r="D26" i="4"/>
  <c r="E22" i="3"/>
  <c r="D22" i="3"/>
  <c r="E13" i="3"/>
  <c r="E22" i="6" s="1"/>
  <c r="E11" i="3"/>
  <c r="D11" i="3"/>
  <c r="D13" i="3" s="1"/>
  <c r="E44" i="2"/>
  <c r="E41" i="2" s="1"/>
  <c r="E40" i="2" s="1"/>
  <c r="E47" i="2" s="1"/>
  <c r="D44" i="2"/>
  <c r="D41" i="2" s="1"/>
  <c r="D40" i="2" s="1"/>
  <c r="D47" i="2" s="1"/>
  <c r="E33" i="2"/>
  <c r="D33" i="2"/>
  <c r="E32" i="2"/>
  <c r="E15" i="6" s="1"/>
  <c r="D32" i="2"/>
  <c r="D15" i="6" s="1"/>
  <c r="E26" i="2"/>
  <c r="D26" i="2"/>
  <c r="E23" i="2"/>
  <c r="E22" i="2" s="1"/>
  <c r="E21" i="2" s="1"/>
  <c r="D23" i="2"/>
  <c r="D22" i="2" s="1"/>
  <c r="D21" i="2" s="1"/>
  <c r="E14" i="2"/>
  <c r="D14" i="2"/>
  <c r="E10" i="2"/>
  <c r="E11" i="6" s="1"/>
  <c r="D10" i="2"/>
  <c r="D9" i="2" s="1"/>
  <c r="E9" i="2"/>
  <c r="E31" i="2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D22" i="6" l="1"/>
  <c r="D19" i="3"/>
  <c r="D23" i="3" s="1"/>
  <c r="E20" i="6"/>
  <c r="E49" i="2"/>
  <c r="D31" i="2"/>
  <c r="D10" i="6"/>
  <c r="D31" i="5"/>
  <c r="D30" i="5"/>
  <c r="F32" i="5"/>
  <c r="E10" i="6"/>
  <c r="D28" i="5"/>
  <c r="E19" i="3"/>
  <c r="E23" i="3" s="1"/>
  <c r="D11" i="6"/>
  <c r="D14" i="6"/>
  <c r="E14" i="6"/>
  <c r="D29" i="5"/>
  <c r="D18" i="6"/>
  <c r="D19" i="6" s="1"/>
  <c r="D20" i="6" l="1"/>
  <c r="D49" i="2"/>
  <c r="E16" i="6"/>
  <c r="E10" i="4"/>
  <c r="E15" i="4" s="1"/>
  <c r="E21" i="4" s="1"/>
  <c r="E33" i="4" s="1"/>
  <c r="E36" i="4" s="1"/>
  <c r="E26" i="3"/>
  <c r="D16" i="6"/>
  <c r="D10" i="4"/>
  <c r="D15" i="4" s="1"/>
  <c r="D21" i="4" s="1"/>
  <c r="D33" i="4" s="1"/>
  <c r="D36" i="4" s="1"/>
  <c r="D26" i="3"/>
  <c r="D24" i="6" l="1"/>
  <c r="D23" i="6"/>
  <c r="D27" i="3"/>
  <c r="D25" i="6"/>
  <c r="E25" i="6"/>
  <c r="E24" i="6"/>
  <c r="E23" i="6"/>
  <c r="E27" i="3"/>
</calcChain>
</file>

<file path=xl/sharedStrings.xml><?xml version="1.0" encoding="utf-8"?>
<sst xmlns="http://schemas.openxmlformats.org/spreadsheetml/2006/main" count="506" uniqueCount="407">
  <si>
    <t>BÁO CÁO TÀI CHÍNH NĂM 2026 (ĐÃ ĐƯỢC KIỂM TOÁN)</t>
  </si>
  <si>
    <t>CÔNG TY CỔ PHẦN CÔNG NGHỆ CES (CES TECHNOLOGY JSC)</t>
  </si>
  <si>
    <t>Áp dụng theo Chế độ Kế toán Doanh nghiệp - Thông tư số 200/2014/TT-BTC của Bộ Tài chính</t>
  </si>
  <si>
    <t>I. THÔNG TIN PHÁP LÝ &amp; HỒ SƠ DOANH NGHIỆP</t>
  </si>
  <si>
    <t>•</t>
  </si>
  <si>
    <t>Tên đầy đủ</t>
  </si>
  <si>
    <t>CÔNG TY CỔ PHẦN CÔNG NGHỆ CES</t>
  </si>
  <si>
    <t>Tên giao dịch quốc tế</t>
  </si>
  <si>
    <t>CES TECHNOLOGY JOINT STOCK COMPANY</t>
  </si>
  <si>
    <t>Mã chứng khoán / Mã số thuế</t>
  </si>
  <si>
    <t>0109876543 (Cấp lần đầu ngày 15/03/2021)</t>
  </si>
  <si>
    <t>Vốn điều lệ đăng ký</t>
  </si>
  <si>
    <t>10.000.000.000 VNĐ (Mười tỷ đồng)</t>
  </si>
  <si>
    <t>Vốn góp thực tế của CSH</t>
  </si>
  <si>
    <t>8.000.000.000 VNĐ (Tương ứng 800.000 cổ phần đã phát hành)</t>
  </si>
  <si>
    <t>Địa chỉ trụ sở chính</t>
  </si>
  <si>
    <t>Tầng 6, Tòa nhà CES Tower, Phố Duy Tân, Cầu Giấy, Hà Nội</t>
  </si>
  <si>
    <t>Ngành nghề kinh doanh chính</t>
  </si>
  <si>
    <t>Xuất bản phần mềm, dịch vụ CNTT, giải pháp AI Workspace, tích hợp hệ thống</t>
  </si>
  <si>
    <t>Người đại diện theo pháp luật</t>
  </si>
  <si>
    <t>Ông LƯU TUẤN ANH - Tổng Giám đốc</t>
  </si>
  <si>
    <t>Kế toán trưởng</t>
  </si>
  <si>
    <t>Bà TRẦN THỊ HỒNG NHUNG</t>
  </si>
  <si>
    <t>Đơn vị kiểm toán độc lập</t>
  </si>
  <si>
    <t>Công ty TNHH Kiểm toán &amp; Tư vấn Tài chính Quốc tế (A&amp;C Audit)</t>
  </si>
  <si>
    <t>Ý kiến kiểm toán viên</t>
  </si>
  <si>
    <t>Chấp nhận toàn phần (Unqualified Opinion) - BCTC phản ánh trung thực và hợp lý</t>
  </si>
  <si>
    <t>II. TỔNG HỢP CÁC CHỈ SỐ TÀI CHÍNH CỐT LÕI (NĂM 2026 SO VỚI 2025)</t>
  </si>
  <si>
    <t>STT</t>
  </si>
  <si>
    <t>Chỉ tiêu tài chính</t>
  </si>
  <si>
    <t>ĐVT</t>
  </si>
  <si>
    <t>Năm 2026 (Kỳ này)</t>
  </si>
  <si>
    <t>Năm 2025 (Kỳ trước)</t>
  </si>
  <si>
    <t>Chênh lệch (+/-)</t>
  </si>
  <si>
    <t>Tỷ lệ tăng trưởng</t>
  </si>
  <si>
    <t>Tổng Doanh thu thuần</t>
  </si>
  <si>
    <t>VNĐ</t>
  </si>
  <si>
    <t>Lợi nhuận gộp</t>
  </si>
  <si>
    <t>Lợi nhuận kế toán trước thuế (LNTT)</t>
  </si>
  <si>
    <t>Lợi nhuận sau thuế TNDN (LNST)</t>
  </si>
  <si>
    <t>Tổng tài sản</t>
  </si>
  <si>
    <t>Vốn chủ sở hữu</t>
  </si>
  <si>
    <t>Tiền và tương đương tiền cuối kỳ</t>
  </si>
  <si>
    <t>Tỷ suất LNST / Doanh thu thuần (ROS)</t>
  </si>
  <si>
    <t>%</t>
  </si>
  <si>
    <t>Tỷ suất LNST / Vốn CSH bình quân (ROE)</t>
  </si>
  <si>
    <t>Tỷ suất LNST / Tổng tài sản bình quân (ROA)</t>
  </si>
  <si>
    <t>Hệ số khả năng thanh toán hiện hành</t>
  </si>
  <si>
    <t>Lần</t>
  </si>
  <si>
    <t>Hệ số Nợ phải trả / Tổng tài sản</t>
  </si>
  <si>
    <t>III. MỤC LỤC BỘ BÁO CÁO TÀI CHÍNH CHI TIẾT</t>
  </si>
  <si>
    <t>Tên Sheet</t>
  </si>
  <si>
    <t>Mã biểu mẫu</t>
  </si>
  <si>
    <t>Nội dung phản ánh</t>
  </si>
  <si>
    <t>Trạng thái</t>
  </si>
  <si>
    <t>2. Bang Can Doi Ke Toan</t>
  </si>
  <si>
    <t>Mẫu B 01 - DN</t>
  </si>
  <si>
    <t>Bảng Cân đối Kế toán tại ngày 31/12/2026 (Tài sản &amp; Nguồn vốn)</t>
  </si>
  <si>
    <t>Đầy đủ / Khớp 100%</t>
  </si>
  <si>
    <t>3. KQKD</t>
  </si>
  <si>
    <t>Mẫu B 02 - DN</t>
  </si>
  <si>
    <t>Báo cáo Kết quả Hoạt động Kinh doanh năm 2026 (Doanh thu, Chi phí, Lãi/Lỗ)</t>
  </si>
  <si>
    <t>4. Luu Chuyen Tien Te</t>
  </si>
  <si>
    <t>Mẫu B 03 - DN</t>
  </si>
  <si>
    <t>Báo cáo Lưu chuyển Tiền tệ năm 2026 (Phương pháp Gián tiếp)</t>
  </si>
  <si>
    <t>5. Thuyet Minh BCTC</t>
  </si>
  <si>
    <t>Mẫu B 09 - DN</t>
  </si>
  <si>
    <t>Bản Thuyết minh BCTC chi tiết các khoản mục trọng yếu và phân tích công nợ</t>
  </si>
  <si>
    <t>6. Phan Tich Tai Chinh</t>
  </si>
  <si>
    <t>Báo cáo Quản trị</t>
  </si>
  <si>
    <t>Bảng phân tích chuyên sâu các nhóm chỉ số tài chính, thanh khoản và sinh lời</t>
  </si>
  <si>
    <t>Mẫu số B 01 - DN</t>
  </si>
  <si>
    <t>Địa chỉ: Tầng 6, Tòa nhà CES Tower, Cầu Giấy, TP. Hà Nội</t>
  </si>
  <si>
    <t>(Ban hành theo Thông tư số 200/2014/TT-BTC</t>
  </si>
  <si>
    <t>Mã số thuế: 0109876543 | ĐT: (024) 6886 9999</t>
  </si>
  <si>
    <t>Ngày 22/12/2014 của Bộ Tài chính)</t>
  </si>
  <si>
    <t>BẢNG CÂN ĐỐI KẾ TOÁN</t>
  </si>
  <si>
    <t>Tại ngày 31 tháng 12 năm 2026</t>
  </si>
  <si>
    <t>Đơn vị tính: Việt Nam đồng (VNĐ)</t>
  </si>
  <si>
    <t>Mã số</t>
  </si>
  <si>
    <t>CHỈ TIÊU</t>
  </si>
  <si>
    <t>Thuyết minh</t>
  </si>
  <si>
    <t>Số cuối năm (31/12/2026)</t>
  </si>
  <si>
    <t>Số đầu năm (01/01/2026)</t>
  </si>
  <si>
    <t>100</t>
  </si>
  <si>
    <t>A. TÀI SẢN NGẮN HẠN</t>
  </si>
  <si>
    <t>110</t>
  </si>
  <si>
    <t>I. Tiền và các khoản tương đương tiền</t>
  </si>
  <si>
    <t>V.01</t>
  </si>
  <si>
    <t>111</t>
  </si>
  <si>
    <t>1. Tiền mặt tại quỹ</t>
  </si>
  <si>
    <t>112</t>
  </si>
  <si>
    <t>2. Tiền gửi ngân hàng không kỳ hạn</t>
  </si>
  <si>
    <t>120</t>
  </si>
  <si>
    <t>II. Đầu tư tài chính ngắn hạn (Tiền gửi 6T)</t>
  </si>
  <si>
    <t>V.02</t>
  </si>
  <si>
    <t>130</t>
  </si>
  <si>
    <t>III. Các khoản phải thu ngắn hạn</t>
  </si>
  <si>
    <t>V.03</t>
  </si>
  <si>
    <t>131</t>
  </si>
  <si>
    <t>1. Phải thu ngắn hạn của khách hàng</t>
  </si>
  <si>
    <t>V.03a</t>
  </si>
  <si>
    <t>132</t>
  </si>
  <si>
    <t>2. Trả trước cho người bán ngắn hạn</t>
  </si>
  <si>
    <t>136</t>
  </si>
  <si>
    <t>3. Phải thu ngắn hạn khác</t>
  </si>
  <si>
    <t>137</t>
  </si>
  <si>
    <t>4. Dự phòng phải thu ngắn hạn khó đòi (*)</t>
  </si>
  <si>
    <t>V.03b</t>
  </si>
  <si>
    <t>140</t>
  </si>
  <si>
    <t>IV. Hàng tồn kho (Chi phí dở dang dịch vụ)</t>
  </si>
  <si>
    <t>V.04</t>
  </si>
  <si>
    <t>150</t>
  </si>
  <si>
    <t>V. Tài sản ngắn hạn khác</t>
  </si>
  <si>
    <t>V.05</t>
  </si>
  <si>
    <t>200</t>
  </si>
  <si>
    <t>B. TÀI SẢN DÀI HẠN</t>
  </si>
  <si>
    <t>220</t>
  </si>
  <si>
    <t>I. Tài sản cố định</t>
  </si>
  <si>
    <t>V.06</t>
  </si>
  <si>
    <t>221</t>
  </si>
  <si>
    <t>1. Tài sản cố định hữu hình</t>
  </si>
  <si>
    <t>222</t>
  </si>
  <si>
    <t xml:space="preserve">   - Nguyên giá</t>
  </si>
  <si>
    <t>223</t>
  </si>
  <si>
    <t xml:space="preserve">   - Giá trị hao mòn lũy kế (*)</t>
  </si>
  <si>
    <t>227</t>
  </si>
  <si>
    <t>2. Tài sản cố định vô hình (Nền tảng AI)</t>
  </si>
  <si>
    <t>228</t>
  </si>
  <si>
    <t>229</t>
  </si>
  <si>
    <t>240</t>
  </si>
  <si>
    <t>II. Tài sản dở dang dài hạn (R&amp;D AI Server)</t>
  </si>
  <si>
    <t>V.07</t>
  </si>
  <si>
    <t>260</t>
  </si>
  <si>
    <t>III. Tài sản dài hạn khác (Ký quỹ thuê VP)</t>
  </si>
  <si>
    <t>V.08</t>
  </si>
  <si>
    <t>270</t>
  </si>
  <si>
    <t>TỔNG CỘNG TÀI SẢN (270 = 100 + 200)</t>
  </si>
  <si>
    <t>300</t>
  </si>
  <si>
    <t>C. NỢ PHẢI TRẢ</t>
  </si>
  <si>
    <t>310</t>
  </si>
  <si>
    <t>I. Nợ ngắn hạn</t>
  </si>
  <si>
    <t>V.09</t>
  </si>
  <si>
    <t>311</t>
  </si>
  <si>
    <t>1. Phải trả người bán ngắn hạn</t>
  </si>
  <si>
    <t>312</t>
  </si>
  <si>
    <t>2. Người mua trả tiền trước ngắn hạn</t>
  </si>
  <si>
    <t>313</t>
  </si>
  <si>
    <t>3. Thuế và các khoản phải nộp Nhà nước</t>
  </si>
  <si>
    <t>V.10</t>
  </si>
  <si>
    <t>314</t>
  </si>
  <si>
    <t>4. Phải trả người lao động</t>
  </si>
  <si>
    <t>320</t>
  </si>
  <si>
    <t>5. Vay và nợ thuê tài chính ngắn hạn</t>
  </si>
  <si>
    <t>V.11</t>
  </si>
  <si>
    <t>330</t>
  </si>
  <si>
    <t>II. Nợ dài hạn (Vay dài hạn đầu tư server)</t>
  </si>
  <si>
    <t>V.12</t>
  </si>
  <si>
    <t>400</t>
  </si>
  <si>
    <t>D. VỐN CHỦ SỞ HỮU</t>
  </si>
  <si>
    <t>410</t>
  </si>
  <si>
    <t>I. Vốn chủ sở hữu</t>
  </si>
  <si>
    <t>V.13</t>
  </si>
  <si>
    <t>411</t>
  </si>
  <si>
    <t>1. Vốn góp của chủ sở hữu</t>
  </si>
  <si>
    <t>418</t>
  </si>
  <si>
    <t>2. Quỹ đầu tư phát triển</t>
  </si>
  <si>
    <t>421</t>
  </si>
  <si>
    <t>3. Lợi nhuận sau thuế chưa phân phối</t>
  </si>
  <si>
    <t>421a</t>
  </si>
  <si>
    <t xml:space="preserve">   - LNST chưa phân phối lũy kế kỳ trước</t>
  </si>
  <si>
    <t>421b</t>
  </si>
  <si>
    <t xml:space="preserve">   - LNST chưa phân phối kỳ này</t>
  </si>
  <si>
    <t>440</t>
  </si>
  <si>
    <t>TỔNG CỘNG NGUỒN VỐN (440 = 300 + 400)</t>
  </si>
  <si>
    <t>KIỂM TRA CÂN ĐỐI (TỔNG TÀI SẢN - TỔNG NGUỒN VỐN):</t>
  </si>
  <si>
    <t>Người lập biểu
(Ký, họ tên)</t>
  </si>
  <si>
    <t>Kế toán trưởng
(Ký, họ tên)</t>
  </si>
  <si>
    <t>Hà Nội, ngày 15 tháng 01 năm 2027
Tổng Giám đốc
(Ký, đóng dấu)</t>
  </si>
  <si>
    <t>Nguyễn Văn An</t>
  </si>
  <si>
    <t>Trần Thị Hồng Nhung</t>
  </si>
  <si>
    <t>Lưu Tuấn Anh</t>
  </si>
  <si>
    <t>Mẫu số B 02 - DN</t>
  </si>
  <si>
    <t>BÁO CÁO KẾT QUẢ HOẠT ĐỘNG KINH DOANH</t>
  </si>
  <si>
    <t>Năm 2026</t>
  </si>
  <si>
    <t>01</t>
  </si>
  <si>
    <t>1. Doanh thu bán hàng và cung cấp dịch vụ</t>
  </si>
  <si>
    <t>VI.01</t>
  </si>
  <si>
    <t>02</t>
  </si>
  <si>
    <t>2. Các khoản giảm trừ doanh thu</t>
  </si>
  <si>
    <t>VI.02</t>
  </si>
  <si>
    <t>10</t>
  </si>
  <si>
    <t>3. Doanh thu thuần về bán hàng và CCDV (10 = 01 - 02)</t>
  </si>
  <si>
    <t>VI.03</t>
  </si>
  <si>
    <t>11</t>
  </si>
  <si>
    <t>4. Giá vốn hàng bán</t>
  </si>
  <si>
    <t>VI.04</t>
  </si>
  <si>
    <t>20</t>
  </si>
  <si>
    <t>5. Lợi nhuận gộp về bán hàng và CCDV (20 = 10 - 11)</t>
  </si>
  <si>
    <t>21</t>
  </si>
  <si>
    <t>6. Doanh thu hoạt động tài chính</t>
  </si>
  <si>
    <t>VI.05</t>
  </si>
  <si>
    <t>22</t>
  </si>
  <si>
    <t>7. Chi phí tài chính</t>
  </si>
  <si>
    <t>VI.06</t>
  </si>
  <si>
    <t>23</t>
  </si>
  <si>
    <t xml:space="preserve">   - Trong đó: Chi phí lãi vay</t>
  </si>
  <si>
    <t>25</t>
  </si>
  <si>
    <t>8. Chi phí bán hàng (Marketing, hoa hồng sale)</t>
  </si>
  <si>
    <t>VI.07</t>
  </si>
  <si>
    <t>26</t>
  </si>
  <si>
    <t>9. Chi phí quản lý doanh nghiệp</t>
  </si>
  <si>
    <t>VI.08</t>
  </si>
  <si>
    <t>30</t>
  </si>
  <si>
    <t>10. Lợi nhuận thuần từ HĐKD (30 = 20 + 21 - 22 - 25 - 26)</t>
  </si>
  <si>
    <t>31</t>
  </si>
  <si>
    <t>11. Thu nhập khác</t>
  </si>
  <si>
    <t>VI.09</t>
  </si>
  <si>
    <t>32</t>
  </si>
  <si>
    <t>12. Chi phí khác</t>
  </si>
  <si>
    <t>VI.10</t>
  </si>
  <si>
    <t>40</t>
  </si>
  <si>
    <t>13. Lợi nhuận khác (40 = 31 - 32)</t>
  </si>
  <si>
    <t>50</t>
  </si>
  <si>
    <t>14. TỔNG LỢI NHUẬN KẾ TOÁN TRƯỚC THUẾ (50 = 30 + 40)</t>
  </si>
  <si>
    <t>51</t>
  </si>
  <si>
    <t>15. Chi phí thuế TNDN hiện hành (20%)</t>
  </si>
  <si>
    <t>VI.11</t>
  </si>
  <si>
    <t>52</t>
  </si>
  <si>
    <t>16. Chi phí thuế TNDN hoãn lại</t>
  </si>
  <si>
    <t>60</t>
  </si>
  <si>
    <t>17. LỢI NHUẬN SAU THUẾ TNDN (60 = 50 - 51 - 52)</t>
  </si>
  <si>
    <t>70</t>
  </si>
  <si>
    <t>18. Lãi cơ bản trên cổ phiếu (EPS) (VNĐ/CP)</t>
  </si>
  <si>
    <t>VI.12</t>
  </si>
  <si>
    <t>Mẫu số B 03 - DN</t>
  </si>
  <si>
    <t>BÁO CÁO LƯU CHUYỂN TIỀN TỆ (PHƯƠNG PHÁP GIÁN TIẾP)</t>
  </si>
  <si>
    <t>I</t>
  </si>
  <si>
    <t>LƯU CHUYỂN TIỀN TỪ HOẠT ĐỘNG KINH DOANH</t>
  </si>
  <si>
    <t>1. Lợi nhuận trước thuế</t>
  </si>
  <si>
    <t>2. Điều chỉnh cho các khoản:</t>
  </si>
  <si>
    <t>03</t>
  </si>
  <si>
    <t xml:space="preserve">   - Khấu hao TSCĐ và BĐSĐT</t>
  </si>
  <si>
    <t>04</t>
  </si>
  <si>
    <t xml:space="preserve">   - Các khoản dự phòng</t>
  </si>
  <si>
    <t>06</t>
  </si>
  <si>
    <t xml:space="preserve">   - Chi phí lãi vay</t>
  </si>
  <si>
    <t>08</t>
  </si>
  <si>
    <t>3. Lợi nhuận từ HĐKD trước thay đổi vốn lưu động</t>
  </si>
  <si>
    <t>09</t>
  </si>
  <si>
    <t xml:space="preserve">   - Tăng/giảm các khoản phải thu</t>
  </si>
  <si>
    <t xml:space="preserve">   - Tăng/giảm hàng tồn kho</t>
  </si>
  <si>
    <t xml:space="preserve">   - Tăng/giảm các khoản phải trả (không kể thuế &amp; lãi vay)</t>
  </si>
  <si>
    <t>14</t>
  </si>
  <si>
    <t xml:space="preserve">   - Tiền lãi vay đã trả</t>
  </si>
  <si>
    <t>15</t>
  </si>
  <si>
    <t xml:space="preserve">   - Thuế thu nhập doanh nghiệp đã nộp</t>
  </si>
  <si>
    <t>Lưu chuyển tiền thuần từ HĐKD (Mã 20)</t>
  </si>
  <si>
    <t>II</t>
  </si>
  <si>
    <t>LƯU CHUYỂN TIỀN TỪ HOẠT ĐỘNG ĐẦU TƯ</t>
  </si>
  <si>
    <t>1. Tiền chi mua sắm, xây dựng TSCĐ và TSDH khác</t>
  </si>
  <si>
    <t>2. Tiền chi cho vay, mua các công cụ nợ (Gửi tiết kiệm)</t>
  </si>
  <si>
    <t>27</t>
  </si>
  <si>
    <t>3. Tiền thu lãi cho vay, cổ tức và lợi nhuận được chia</t>
  </si>
  <si>
    <t>Lưu chuyển tiền thuần từ HĐĐT (Mã 30)</t>
  </si>
  <si>
    <t>III</t>
  </si>
  <si>
    <t>LƯU CHUYỂN TIỀN TỪ HOẠT ĐỘNG TÀI CHÍNH</t>
  </si>
  <si>
    <t>1. Tiền thu từ phát hành cổ phiếu, nhận vốn góp của CSH</t>
  </si>
  <si>
    <t>33</t>
  </si>
  <si>
    <t>2. Tiền thu từ đi vay ngắn hạn &amp; dài hạn</t>
  </si>
  <si>
    <t>34</t>
  </si>
  <si>
    <t>3. Tiền trả nợ gốc vay</t>
  </si>
  <si>
    <t>36</t>
  </si>
  <si>
    <t>4. Cổ tức, lợi nhuận đã trả cho chủ sở hữu</t>
  </si>
  <si>
    <t>Lưu chuyển tiền thuần từ HĐTC (Mã 40)</t>
  </si>
  <si>
    <t>LƯU CHUYỂN TIỀN THUẦN TRONG NĂM (50 = 20 + 30 + 40)</t>
  </si>
  <si>
    <t>Tiền và tương đương tiền đầu năm</t>
  </si>
  <si>
    <t>61</t>
  </si>
  <si>
    <t>Ảnh hưởng của thay đổi tỷ giá hối đoái</t>
  </si>
  <si>
    <t>TIỀN VÀ TƯƠNG ĐƯƠNG TIỀN CUỐI NĂM (70 = 50 + 60 + 61)</t>
  </si>
  <si>
    <t>Mẫu số B 09 - DN</t>
  </si>
  <si>
    <t>BẢN THUYẾT MINH BÁO CÁO TÀI CHÍNH CHỌN LỌC</t>
  </si>
  <si>
    <t>1. TIỀN VÀ CÁC KHOẢN TƯƠNG ĐƯƠNG TIỀN (Thuyết minh V.01)</t>
  </si>
  <si>
    <t>Khoản mục</t>
  </si>
  <si>
    <t>Ngân hàng quản lý</t>
  </si>
  <si>
    <t>Mục đích sử dụng</t>
  </si>
  <si>
    <t>Tiền mặt tại quỹ văn phòng</t>
  </si>
  <si>
    <t>Thủ quỹ công ty</t>
  </si>
  <si>
    <t>Chi tiêu hành chính vặt</t>
  </si>
  <si>
    <t>Tiền gửi không kỳ hạn - VNĐ</t>
  </si>
  <si>
    <t>Vietcombank - CN Thăng Long</t>
  </si>
  <si>
    <t>Giao dịch thanh toán chính</t>
  </si>
  <si>
    <t>Tiền gửi thanh toán trực tuyến</t>
  </si>
  <si>
    <t>Techcombank - CN Trung Hòa</t>
  </si>
  <si>
    <t>Cổng thanh toán SaaS tự động</t>
  </si>
  <si>
    <t>CỘNG TIỀN VÀ TƯƠNG ĐƯƠNG TIỀN</t>
  </si>
  <si>
    <t>2. PHẢI THU NGẮN HẠN CỦA KHÁCH HÀNG &amp; PHÂN TÍCH TUỔI NỢ (Thuyết minh V.03a &amp; V.03b)</t>
  </si>
  <si>
    <t>Mã KH</t>
  </si>
  <si>
    <t>Tên khách hàng / Đối tác</t>
  </si>
  <si>
    <t>Số dư nợ 31/12/2026</t>
  </si>
  <si>
    <t>Trong hạn</t>
  </si>
  <si>
    <t>Quá hạn (Báo động)</t>
  </si>
  <si>
    <t>Dự phòng đã trích</t>
  </si>
  <si>
    <t>KH001</t>
  </si>
  <si>
    <t>Công ty CP Tập đoàn Đại Tín (HĐ gia hạn 28/02)</t>
  </si>
  <si>
    <t>KH002</t>
  </si>
  <si>
    <t>Công ty TNHH Giải pháp Sao Mai</t>
  </si>
  <si>
    <t>KH003</t>
  </si>
  <si>
    <t>Tổng Công ty Dược An Phát</t>
  </si>
  <si>
    <t>KH004</t>
  </si>
  <si>
    <t>Công ty CP Bán lẻ Hoàng Kim</t>
  </si>
  <si>
    <t>KH005</t>
  </si>
  <si>
    <t>Các khách hàng doanh nghiệp SME khác (152 KH)</t>
  </si>
  <si>
    <t>TỔNG CỘNG PHẢI THU KHÁCH HÀNG</t>
  </si>
  <si>
    <t>3. DOANH THU BÁN HÀNG &amp; DỊCH VỤ THEO PHÂN KHÚC (Thuyết minh VI.01)</t>
  </si>
  <si>
    <t>Phân khúc sản phẩm / Dịch vụ</t>
  </si>
  <si>
    <t>Doanh thu năm 2026</t>
  </si>
  <si>
    <t>Tỷ trọng (%)</t>
  </si>
  <si>
    <t>Doanh thu năm 2025</t>
  </si>
  <si>
    <t>Tăng trưởng</t>
  </si>
  <si>
    <t>Gói Cao cấp (Doanh nghiệp lớn &amp; Tập đoàn)</t>
  </si>
  <si>
    <t>Gói Tiêu chuẩn (Doanh nghiệp SME 10-50 nhân sự)</t>
  </si>
  <si>
    <t>Gói Cơ bản &amp; Thuê bao SaaS</t>
  </si>
  <si>
    <t>Dịch vụ tích hợp AI Workspace, Đào tạo &amp; Bàn giao</t>
  </si>
  <si>
    <t>Phí duy trì, bảo trì định kỳ và hỗ trợ kỹ thuật 24/7</t>
  </si>
  <si>
    <t>TỔNG CỘNG DOANH THU THUẦN</t>
  </si>
  <si>
    <t>Mẫu số QT - 01</t>
  </si>
  <si>
    <t>BÁO CÁO PHÂN TÍCH CHỈ SỐ TÀI CHÍNH DOANH NGHIỆP</t>
  </si>
  <si>
    <t>Giai đoạn 2025 - 2026</t>
  </si>
  <si>
    <t>Đơn vị tính: Tỷ lệ &amp; Lần</t>
  </si>
  <si>
    <t>Nhóm chỉ tiêu / Chỉ số tài chính</t>
  </si>
  <si>
    <t>Công thức tính</t>
  </si>
  <si>
    <t>Năm 2025</t>
  </si>
  <si>
    <t>Chuẩn ngành CNTT</t>
  </si>
  <si>
    <t>Đánh giá &amp; Khuyến nghị</t>
  </si>
  <si>
    <t>NHÓM CHỈ SỐ KHẢ NĂNG THANH TOÁN (LIQUIDITY)</t>
  </si>
  <si>
    <t>1</t>
  </si>
  <si>
    <t>Hệ số thanh toán hiện hành (Current Ratio)</t>
  </si>
  <si>
    <t>TS ngắn hạn / Nợ ngắn hạn</t>
  </si>
  <si>
    <t>2.0 - 3.0</t>
  </si>
  <si>
    <t>Rất tốt; đảm bảo trả nợ an toàn</t>
  </si>
  <si>
    <t>2</t>
  </si>
  <si>
    <t>Hệ số thanh toán nhanh (Quick Ratio)</t>
  </si>
  <si>
    <t>(Tiền + ĐT ngắn hạn + Phải thu) / Nợ ngắn hạn</t>
  </si>
  <si>
    <t>&gt; 1.5</t>
  </si>
  <si>
    <t>Tuyệt vời; không phụ thuộc hàng tồn kho</t>
  </si>
  <si>
    <t>3</t>
  </si>
  <si>
    <t>Hệ số thanh toán tức thời (Cash Ratio)</t>
  </si>
  <si>
    <t>Tiền và tương đương tiền / Nợ ngắn hạn</t>
  </si>
  <si>
    <t>&gt; 0.5</t>
  </si>
  <si>
    <t>Thừa khả năng thanh toán nợ đến hạn</t>
  </si>
  <si>
    <t>NHÓM CHỈ SỐ CƠ CẤU VỐN &amp; ĐÒN BẨY (LEVERAGE)</t>
  </si>
  <si>
    <t>4</t>
  </si>
  <si>
    <t>Hệ số Nợ trên Tổng tài sản (Debt/Assets)</t>
  </si>
  <si>
    <t>Tổng nợ phải trả / Tổng tài sản</t>
  </si>
  <si>
    <t>&lt; 40%</t>
  </si>
  <si>
    <t>Rủi ro tài chính rất thấp, nợ chỉ 20%</t>
  </si>
  <si>
    <t>5</t>
  </si>
  <si>
    <t>Hệ số Nợ trên Vốn chủ sở hữu (D/E)</t>
  </si>
  <si>
    <t>Tổng nợ phải trả / Vốn CSH</t>
  </si>
  <si>
    <t>&lt; 1.0</t>
  </si>
  <si>
    <t>Doanh nghiệp tự chủ tài chính vững chắc</t>
  </si>
  <si>
    <t>6</t>
  </si>
  <si>
    <t>Hệ số khả năng chi trả lãi vay (ICR)</t>
  </si>
  <si>
    <t>EBIT / Chi phí lãi vay</t>
  </si>
  <si>
    <t>&gt; 5.0 lần</t>
  </si>
  <si>
    <t>Lợi nhuận gấp 20 lần lãi vay ngân hàng</t>
  </si>
  <si>
    <t>NHÓM CHỈ SỐ HIỆU QUẢ HOẠT ĐỘNG (EFFICIENCY)</t>
  </si>
  <si>
    <t>7</t>
  </si>
  <si>
    <t>Vòng quay các khoản phải thu (Receivables Turnover)</t>
  </si>
  <si>
    <t>Doanh thu thuần / Phải thu bình quân</t>
  </si>
  <si>
    <t>8.0 - 12.0</t>
  </si>
  <si>
    <t>Tốc độ thu hồi tiền nhanh, 10 vòng/năm</t>
  </si>
  <si>
    <t>8</t>
  </si>
  <si>
    <t>Kỳ thu tiền bình quân (DSO)</t>
  </si>
  <si>
    <t>365 / Vòng quay khoản phải thu</t>
  </si>
  <si>
    <t>30 - 45 ngày</t>
  </si>
  <si>
    <t>Khoảng 36 ngày; cần siết nợ Sao Mai</t>
  </si>
  <si>
    <t>9</t>
  </si>
  <si>
    <t>Vòng quay Tổng tài sản (Asset Turnover)</t>
  </si>
  <si>
    <t>Doanh thu thuần / Tổng TS bình quân</t>
  </si>
  <si>
    <t>1.0 - 1.5</t>
  </si>
  <si>
    <t>Hiệu suất sử dụng tài sản tốt</t>
  </si>
  <si>
    <t>IV</t>
  </si>
  <si>
    <t>NHÓM CHỈ SỐ KHẢ NĂNG SINH LỜI (PROFITABILITY)</t>
  </si>
  <si>
    <t>Tỷ suất Lợi nhuận gộp (Gross Margin)</t>
  </si>
  <si>
    <t>Lợi nhuận gộp / Doanh thu thuần</t>
  </si>
  <si>
    <t>40% - 50%</t>
  </si>
  <si>
    <t>Biên lãi gộp 45% chuẩn ngành SaaS cao cấp</t>
  </si>
  <si>
    <t>Tỷ suất Sinh lời trên Doanh thu (ROS)</t>
  </si>
  <si>
    <t>Lợi nhuận sau thuế / Doanh thu thuần</t>
  </si>
  <si>
    <t>10% - 15%</t>
  </si>
  <si>
    <t>12.0%; tăng trưởng lành mạnh</t>
  </si>
  <si>
    <t>12</t>
  </si>
  <si>
    <t>Tỷ suất Sinh lời trên Tài sản (ROA)</t>
  </si>
  <si>
    <t>LNST / Tổng tài sản bình quân</t>
  </si>
  <si>
    <t>&gt; 10%</t>
  </si>
  <si>
    <t>13.6%; 100 đồng tài sản tạo 13.6 đồng lãi</t>
  </si>
  <si>
    <t>13</t>
  </si>
  <si>
    <t>Tỷ suất Sinh lời trên Vốn CSH (ROE)</t>
  </si>
  <si>
    <t>LNST / Vốn CSH bình quân</t>
  </si>
  <si>
    <t>&gt; 15%</t>
  </si>
  <si>
    <t>17.2%; hiệu quả đầu tư vốn vượt trội</t>
  </si>
  <si>
    <t>V. KẾT LUẬN &amp; KIẾN NGHỊ QUẢN TRỊ TÀI CHÍNH NĂM 2027</t>
  </si>
  <si>
    <t>1. Sức khỏe tài chính tổng thể: Cực kỳ lành mạnh với biên lợi nhuận gộp 45%, tỷ suất ROE đạt 17,2% và ROA đạt 13,6%.</t>
  </si>
  <si>
    <t>2. Khả năng tự chủ tài chính: Tỷ lệ nợ chỉ chiếm 20,4% tổng tài sản, không gặp bất kỳ áp lực thanh khoản nào.</t>
  </si>
  <si>
    <t>3. Điểm lưu ý trọng tâm năm 2027: Cần quyết liệt thu hồi khoản nợ quá hạn 275 triệu đồng của Công ty Sao Mai và gửi văn bản đàm phán hợp đồng Đại Tín trước ngày 28/02/2027.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</si>
</sst>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Times New Roman"/>
    </font>
    <font>
      <b/>
      <sz val="13"/>
      <color rgb="FF333333"/>
      <name val="Times New Roman"/>
    </font>
    <font>
      <i/>
      <sz val="11"/>
      <color rgb="FF333333"/>
      <name val="Times New Roman"/>
    </font>
    <font>
      <b/>
      <sz val="11"/>
      <color rgb="FF1F4E79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FFFFFF"/>
      <name val="Times New Roman"/>
    </font>
    <font>
      <i/>
      <sz val="10"/>
      <color rgb="FF666666"/>
      <name val="Times New Roman"/>
    </font>
    <font>
      <b/>
      <sz val="14"/>
      <color rgb="FF1F4E79"/>
      <name val="Times New Roman"/>
    </font>
    <font>
      <i/>
      <sz val="10"/>
      <color rgb="FF555555"/>
      <name val="Times New Roman"/>
    </font>
    <font>
      <b/>
      <sz val="11"/>
      <color rgb="FFC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3" fontId="9" fillId="5" borderId="4" xfId="0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4" xfId="0" applyFont="1" applyBorder="1"/>
    <xf numFmtId="3" fontId="5" fillId="0" borderId="4" xfId="0" applyNumberFormat="1" applyFont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1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2" borderId="0" xfId="0" applyFont="1" applyFill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2" workbookViewId="0">
      <selection sqref="A1:G1"/>
    </sheetView>
  </sheetViews>
  <sheetFormatPr defaultRowHeight="14.4" x14ac:dyDescent="0.55000000000000004"/>
  <cols>
    <col min="1" max="1" width="7" customWidth="1"/>
    <col min="2" max="2" width="47" customWidth="1"/>
    <col min="3" max="3" width="20" customWidth="1"/>
    <col min="4" max="4" width="22" customWidth="1"/>
    <col min="5" max="5" width="23" customWidth="1"/>
    <col min="6" max="6" width="20" customWidth="1"/>
    <col min="7" max="7" width="22" customWidth="1"/>
  </cols>
  <sheetData>
    <row r="1" spans="1:7" ht="30" customHeight="1" x14ac:dyDescent="0.55000000000000004">
      <c r="A1" s="38" t="s">
        <v>0</v>
      </c>
      <c r="B1" s="34"/>
      <c r="C1" s="34"/>
      <c r="D1" s="34"/>
      <c r="E1" s="34"/>
      <c r="F1" s="34"/>
      <c r="G1" s="34"/>
    </row>
    <row r="2" spans="1:7" ht="24" customHeight="1" x14ac:dyDescent="0.55000000000000004">
      <c r="A2" s="44" t="s">
        <v>1</v>
      </c>
      <c r="B2" s="34"/>
      <c r="C2" s="34"/>
      <c r="D2" s="34"/>
      <c r="E2" s="34"/>
      <c r="F2" s="34"/>
      <c r="G2" s="34"/>
    </row>
    <row r="3" spans="1:7" ht="20.05" customHeight="1" x14ac:dyDescent="0.55000000000000004">
      <c r="A3" s="43" t="s">
        <v>2</v>
      </c>
      <c r="B3" s="34"/>
      <c r="C3" s="34"/>
      <c r="D3" s="34"/>
      <c r="E3" s="34"/>
      <c r="F3" s="34"/>
      <c r="G3" s="34"/>
    </row>
    <row r="5" spans="1:7" ht="25" customHeight="1" x14ac:dyDescent="0.55000000000000004">
      <c r="A5" s="42" t="s">
        <v>3</v>
      </c>
      <c r="B5" s="34"/>
      <c r="C5" s="34"/>
      <c r="D5" s="34"/>
      <c r="E5" s="34"/>
      <c r="F5" s="34"/>
      <c r="G5" s="34"/>
    </row>
    <row r="6" spans="1:7" ht="22" customHeight="1" x14ac:dyDescent="0.55000000000000004">
      <c r="A6" s="1" t="s">
        <v>4</v>
      </c>
      <c r="B6" s="33" t="s">
        <v>5</v>
      </c>
      <c r="C6" s="34"/>
      <c r="D6" s="35" t="s">
        <v>6</v>
      </c>
      <c r="E6" s="34"/>
      <c r="F6" s="34"/>
      <c r="G6" s="34"/>
    </row>
    <row r="7" spans="1:7" ht="22" customHeight="1" x14ac:dyDescent="0.55000000000000004">
      <c r="A7" s="1" t="s">
        <v>4</v>
      </c>
      <c r="B7" s="33" t="s">
        <v>7</v>
      </c>
      <c r="C7" s="34"/>
      <c r="D7" s="35" t="s">
        <v>8</v>
      </c>
      <c r="E7" s="34"/>
      <c r="F7" s="34"/>
      <c r="G7" s="34"/>
    </row>
    <row r="8" spans="1:7" ht="22" customHeight="1" x14ac:dyDescent="0.55000000000000004">
      <c r="A8" s="1" t="s">
        <v>4</v>
      </c>
      <c r="B8" s="33" t="s">
        <v>9</v>
      </c>
      <c r="C8" s="34"/>
      <c r="D8" s="35" t="s">
        <v>10</v>
      </c>
      <c r="E8" s="34"/>
      <c r="F8" s="34"/>
      <c r="G8" s="34"/>
    </row>
    <row r="9" spans="1:7" ht="22" customHeight="1" x14ac:dyDescent="0.55000000000000004">
      <c r="A9" s="1" t="s">
        <v>4</v>
      </c>
      <c r="B9" s="33" t="s">
        <v>11</v>
      </c>
      <c r="C9" s="34"/>
      <c r="D9" s="35" t="s">
        <v>12</v>
      </c>
      <c r="E9" s="34"/>
      <c r="F9" s="34"/>
      <c r="G9" s="34"/>
    </row>
    <row r="10" spans="1:7" ht="22" customHeight="1" x14ac:dyDescent="0.55000000000000004">
      <c r="A10" s="1" t="s">
        <v>4</v>
      </c>
      <c r="B10" s="33" t="s">
        <v>13</v>
      </c>
      <c r="C10" s="34"/>
      <c r="D10" s="35" t="s">
        <v>14</v>
      </c>
      <c r="E10" s="34"/>
      <c r="F10" s="34"/>
      <c r="G10" s="34"/>
    </row>
    <row r="11" spans="1:7" ht="22" customHeight="1" x14ac:dyDescent="0.55000000000000004">
      <c r="A11" s="1" t="s">
        <v>4</v>
      </c>
      <c r="B11" s="33" t="s">
        <v>15</v>
      </c>
      <c r="C11" s="34"/>
      <c r="D11" s="35" t="s">
        <v>16</v>
      </c>
      <c r="E11" s="34"/>
      <c r="F11" s="34"/>
      <c r="G11" s="34"/>
    </row>
    <row r="12" spans="1:7" ht="22" customHeight="1" x14ac:dyDescent="0.55000000000000004">
      <c r="A12" s="1" t="s">
        <v>4</v>
      </c>
      <c r="B12" s="33" t="s">
        <v>17</v>
      </c>
      <c r="C12" s="34"/>
      <c r="D12" s="35" t="s">
        <v>18</v>
      </c>
      <c r="E12" s="34"/>
      <c r="F12" s="34"/>
      <c r="G12" s="34"/>
    </row>
    <row r="13" spans="1:7" ht="22" customHeight="1" x14ac:dyDescent="0.55000000000000004">
      <c r="A13" s="1" t="s">
        <v>4</v>
      </c>
      <c r="B13" s="33" t="s">
        <v>19</v>
      </c>
      <c r="C13" s="34"/>
      <c r="D13" s="35" t="s">
        <v>20</v>
      </c>
      <c r="E13" s="34"/>
      <c r="F13" s="34"/>
      <c r="G13" s="34"/>
    </row>
    <row r="14" spans="1:7" ht="22" customHeight="1" x14ac:dyDescent="0.55000000000000004">
      <c r="A14" s="1" t="s">
        <v>4</v>
      </c>
      <c r="B14" s="33" t="s">
        <v>21</v>
      </c>
      <c r="C14" s="34"/>
      <c r="D14" s="35" t="s">
        <v>22</v>
      </c>
      <c r="E14" s="34"/>
      <c r="F14" s="34"/>
      <c r="G14" s="34"/>
    </row>
    <row r="15" spans="1:7" ht="22" customHeight="1" x14ac:dyDescent="0.55000000000000004">
      <c r="A15" s="1" t="s">
        <v>4</v>
      </c>
      <c r="B15" s="33" t="s">
        <v>23</v>
      </c>
      <c r="C15" s="34"/>
      <c r="D15" s="35" t="s">
        <v>24</v>
      </c>
      <c r="E15" s="34"/>
      <c r="F15" s="34"/>
      <c r="G15" s="34"/>
    </row>
    <row r="16" spans="1:7" ht="22" customHeight="1" x14ac:dyDescent="0.55000000000000004">
      <c r="A16" s="1" t="s">
        <v>4</v>
      </c>
      <c r="B16" s="33" t="s">
        <v>25</v>
      </c>
      <c r="C16" s="34"/>
      <c r="D16" s="35" t="s">
        <v>26</v>
      </c>
      <c r="E16" s="34"/>
      <c r="F16" s="34"/>
      <c r="G16" s="34"/>
    </row>
    <row r="18" spans="1:7" ht="25" customHeight="1" x14ac:dyDescent="0.55000000000000004">
      <c r="A18" s="42" t="s">
        <v>27</v>
      </c>
      <c r="B18" s="34"/>
      <c r="C18" s="34"/>
      <c r="D18" s="34"/>
      <c r="E18" s="34"/>
      <c r="F18" s="34"/>
      <c r="G18" s="34"/>
    </row>
    <row r="19" spans="1:7" ht="28" customHeight="1" x14ac:dyDescent="0.55000000000000004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</row>
    <row r="20" spans="1:7" ht="22" customHeight="1" x14ac:dyDescent="0.55000000000000004">
      <c r="A20" s="3">
        <v>1</v>
      </c>
      <c r="B20" s="4" t="s">
        <v>35</v>
      </c>
      <c r="C20" s="3" t="s">
        <v>36</v>
      </c>
      <c r="D20" s="5">
        <v>12545000000</v>
      </c>
      <c r="E20" s="5">
        <v>10985000000</v>
      </c>
      <c r="F20" s="5">
        <f t="shared" ref="F20:F31" si="0">D20-E20</f>
        <v>1560000000</v>
      </c>
      <c r="G20" s="6">
        <f t="shared" ref="G20:G31" si="1">F20/E20</f>
        <v>0.14201183431952663</v>
      </c>
    </row>
    <row r="21" spans="1:7" ht="22" customHeight="1" x14ac:dyDescent="0.55000000000000004">
      <c r="A21" s="7">
        <v>2</v>
      </c>
      <c r="B21" s="8" t="s">
        <v>37</v>
      </c>
      <c r="C21" s="7" t="s">
        <v>36</v>
      </c>
      <c r="D21" s="9">
        <v>5645250000</v>
      </c>
      <c r="E21" s="9">
        <v>4833400000</v>
      </c>
      <c r="F21" s="9">
        <f t="shared" si="0"/>
        <v>811850000</v>
      </c>
      <c r="G21" s="10">
        <f t="shared" si="1"/>
        <v>0.16796664873587949</v>
      </c>
    </row>
    <row r="22" spans="1:7" ht="22" customHeight="1" x14ac:dyDescent="0.55000000000000004">
      <c r="A22" s="7">
        <v>3</v>
      </c>
      <c r="B22" s="8" t="s">
        <v>38</v>
      </c>
      <c r="C22" s="7" t="s">
        <v>36</v>
      </c>
      <c r="D22" s="9">
        <v>1885000000</v>
      </c>
      <c r="E22" s="9">
        <v>1520000000</v>
      </c>
      <c r="F22" s="9">
        <f t="shared" si="0"/>
        <v>365000000</v>
      </c>
      <c r="G22" s="10">
        <f t="shared" si="1"/>
        <v>0.24013157894736842</v>
      </c>
    </row>
    <row r="23" spans="1:7" ht="22" customHeight="1" x14ac:dyDescent="0.55000000000000004">
      <c r="A23" s="3">
        <v>4</v>
      </c>
      <c r="B23" s="4" t="s">
        <v>39</v>
      </c>
      <c r="C23" s="3" t="s">
        <v>36</v>
      </c>
      <c r="D23" s="5">
        <v>1508000000</v>
      </c>
      <c r="E23" s="5">
        <v>1216000000</v>
      </c>
      <c r="F23" s="5">
        <f t="shared" si="0"/>
        <v>292000000</v>
      </c>
      <c r="G23" s="6">
        <f t="shared" si="1"/>
        <v>0.24013157894736842</v>
      </c>
    </row>
    <row r="24" spans="1:7" ht="22" customHeight="1" x14ac:dyDescent="0.55000000000000004">
      <c r="A24" s="3">
        <v>5</v>
      </c>
      <c r="B24" s="4" t="s">
        <v>40</v>
      </c>
      <c r="C24" s="3" t="s">
        <v>36</v>
      </c>
      <c r="D24" s="5">
        <v>11950000000</v>
      </c>
      <c r="E24" s="5">
        <v>10240000000</v>
      </c>
      <c r="F24" s="5">
        <f t="shared" si="0"/>
        <v>1710000000</v>
      </c>
      <c r="G24" s="6">
        <f t="shared" si="1"/>
        <v>0.1669921875</v>
      </c>
    </row>
    <row r="25" spans="1:7" ht="22" customHeight="1" x14ac:dyDescent="0.55000000000000004">
      <c r="A25" s="3">
        <v>6</v>
      </c>
      <c r="B25" s="4" t="s">
        <v>41</v>
      </c>
      <c r="C25" s="3" t="s">
        <v>36</v>
      </c>
      <c r="D25" s="5">
        <v>9513000000</v>
      </c>
      <c r="E25" s="5">
        <v>8005000000</v>
      </c>
      <c r="F25" s="5">
        <f t="shared" si="0"/>
        <v>1508000000</v>
      </c>
      <c r="G25" s="6">
        <f t="shared" si="1"/>
        <v>0.18838226108682074</v>
      </c>
    </row>
    <row r="26" spans="1:7" ht="22" customHeight="1" x14ac:dyDescent="0.55000000000000004">
      <c r="A26" s="7">
        <v>7</v>
      </c>
      <c r="B26" s="8" t="s">
        <v>42</v>
      </c>
      <c r="C26" s="7" t="s">
        <v>36</v>
      </c>
      <c r="D26" s="9">
        <v>2450000000</v>
      </c>
      <c r="E26" s="9">
        <v>1850000000</v>
      </c>
      <c r="F26" s="9">
        <f t="shared" si="0"/>
        <v>600000000</v>
      </c>
      <c r="G26" s="10">
        <f t="shared" si="1"/>
        <v>0.32432432432432434</v>
      </c>
    </row>
    <row r="27" spans="1:7" ht="22" customHeight="1" x14ac:dyDescent="0.55000000000000004">
      <c r="A27" s="3">
        <v>8</v>
      </c>
      <c r="B27" s="4" t="s">
        <v>43</v>
      </c>
      <c r="C27" s="3" t="s">
        <v>44</v>
      </c>
      <c r="D27" s="6">
        <v>0.1202</v>
      </c>
      <c r="E27" s="6">
        <v>0.11070000000000001</v>
      </c>
      <c r="F27" s="6">
        <f t="shared" si="0"/>
        <v>9.4999999999999946E-3</v>
      </c>
      <c r="G27" s="6">
        <f t="shared" si="1"/>
        <v>8.581752484191503E-2</v>
      </c>
    </row>
    <row r="28" spans="1:7" ht="22" customHeight="1" x14ac:dyDescent="0.55000000000000004">
      <c r="A28" s="3">
        <v>9</v>
      </c>
      <c r="B28" s="4" t="s">
        <v>45</v>
      </c>
      <c r="C28" s="3" t="s">
        <v>44</v>
      </c>
      <c r="D28" s="6">
        <v>0.17219999999999999</v>
      </c>
      <c r="E28" s="6">
        <v>0.161</v>
      </c>
      <c r="F28" s="6">
        <f t="shared" si="0"/>
        <v>1.1199999999999988E-2</v>
      </c>
      <c r="G28" s="6">
        <f t="shared" si="1"/>
        <v>6.9565217391304265E-2</v>
      </c>
    </row>
    <row r="29" spans="1:7" ht="22" customHeight="1" x14ac:dyDescent="0.55000000000000004">
      <c r="A29" s="7">
        <v>10</v>
      </c>
      <c r="B29" s="8" t="s">
        <v>46</v>
      </c>
      <c r="C29" s="7" t="s">
        <v>44</v>
      </c>
      <c r="D29" s="10">
        <v>0.13589999999999999</v>
      </c>
      <c r="E29" s="10">
        <v>0.128</v>
      </c>
      <c r="F29" s="10">
        <f t="shared" si="0"/>
        <v>7.8999999999999904E-3</v>
      </c>
      <c r="G29" s="10">
        <f t="shared" si="1"/>
        <v>6.1718749999999926E-2</v>
      </c>
    </row>
    <row r="30" spans="1:7" ht="22" customHeight="1" x14ac:dyDescent="0.55000000000000004">
      <c r="A30" s="7">
        <v>11</v>
      </c>
      <c r="B30" s="8" t="s">
        <v>47</v>
      </c>
      <c r="C30" s="7" t="s">
        <v>48</v>
      </c>
      <c r="D30" s="11">
        <v>4.9000000000000004</v>
      </c>
      <c r="E30" s="11">
        <v>4.25</v>
      </c>
      <c r="F30" s="11">
        <f t="shared" si="0"/>
        <v>0.65000000000000036</v>
      </c>
      <c r="G30" s="10">
        <f t="shared" si="1"/>
        <v>0.15294117647058833</v>
      </c>
    </row>
    <row r="31" spans="1:7" ht="22" customHeight="1" x14ac:dyDescent="0.55000000000000004">
      <c r="A31" s="7">
        <v>12</v>
      </c>
      <c r="B31" s="8" t="s">
        <v>49</v>
      </c>
      <c r="C31" s="7" t="s">
        <v>44</v>
      </c>
      <c r="D31" s="10">
        <v>0.2039</v>
      </c>
      <c r="E31" s="10">
        <v>0.21829999999999999</v>
      </c>
      <c r="F31" s="10">
        <f t="shared" si="0"/>
        <v>-1.4399999999999996E-2</v>
      </c>
      <c r="G31" s="10">
        <f t="shared" si="1"/>
        <v>-6.5964269354099853E-2</v>
      </c>
    </row>
    <row r="33" spans="1:7" ht="25" customHeight="1" x14ac:dyDescent="0.55000000000000004">
      <c r="A33" s="42" t="s">
        <v>50</v>
      </c>
      <c r="B33" s="34"/>
      <c r="C33" s="34"/>
      <c r="D33" s="34"/>
      <c r="E33" s="34"/>
      <c r="F33" s="34"/>
      <c r="G33" s="34"/>
    </row>
    <row r="34" spans="1:7" ht="28" customHeight="1" x14ac:dyDescent="0.55000000000000004">
      <c r="A34" s="2" t="s">
        <v>28</v>
      </c>
      <c r="B34" s="2" t="s">
        <v>51</v>
      </c>
      <c r="C34" s="2" t="s">
        <v>52</v>
      </c>
      <c r="D34" s="39" t="s">
        <v>53</v>
      </c>
      <c r="E34" s="40"/>
      <c r="F34" s="41"/>
      <c r="G34" s="2" t="s">
        <v>54</v>
      </c>
    </row>
    <row r="35" spans="1:7" ht="22" customHeight="1" x14ac:dyDescent="0.55000000000000004">
      <c r="A35" s="7">
        <v>1</v>
      </c>
      <c r="B35" s="8" t="s">
        <v>55</v>
      </c>
      <c r="C35" s="7" t="s">
        <v>56</v>
      </c>
      <c r="D35" s="36" t="s">
        <v>57</v>
      </c>
      <c r="E35" s="37"/>
      <c r="F35" s="37"/>
      <c r="G35" s="3" t="s">
        <v>58</v>
      </c>
    </row>
    <row r="36" spans="1:7" ht="22" customHeight="1" x14ac:dyDescent="0.55000000000000004">
      <c r="A36" s="7">
        <v>2</v>
      </c>
      <c r="B36" s="8" t="s">
        <v>59</v>
      </c>
      <c r="C36" s="7" t="s">
        <v>60</v>
      </c>
      <c r="D36" s="36" t="s">
        <v>61</v>
      </c>
      <c r="E36" s="37"/>
      <c r="F36" s="37"/>
      <c r="G36" s="3" t="s">
        <v>58</v>
      </c>
    </row>
    <row r="37" spans="1:7" ht="22" customHeight="1" x14ac:dyDescent="0.55000000000000004">
      <c r="A37" s="7">
        <v>3</v>
      </c>
      <c r="B37" s="8" t="s">
        <v>62</v>
      </c>
      <c r="C37" s="7" t="s">
        <v>63</v>
      </c>
      <c r="D37" s="36" t="s">
        <v>64</v>
      </c>
      <c r="E37" s="37"/>
      <c r="F37" s="37"/>
      <c r="G37" s="3" t="s">
        <v>58</v>
      </c>
    </row>
    <row r="38" spans="1:7" ht="22" customHeight="1" x14ac:dyDescent="0.55000000000000004">
      <c r="A38" s="7">
        <v>4</v>
      </c>
      <c r="B38" s="8" t="s">
        <v>65</v>
      </c>
      <c r="C38" s="7" t="s">
        <v>66</v>
      </c>
      <c r="D38" s="36" t="s">
        <v>67</v>
      </c>
      <c r="E38" s="37"/>
      <c r="F38" s="37"/>
      <c r="G38" s="3" t="s">
        <v>58</v>
      </c>
    </row>
    <row r="39" spans="1:7" ht="22" customHeight="1" x14ac:dyDescent="0.55000000000000004">
      <c r="A39" s="7">
        <v>5</v>
      </c>
      <c r="B39" s="8" t="s">
        <v>68</v>
      </c>
      <c r="C39" s="7" t="s">
        <v>69</v>
      </c>
      <c r="D39" s="36" t="s">
        <v>70</v>
      </c>
      <c r="E39" s="37"/>
      <c r="F39" s="37"/>
      <c r="G39" s="3" t="s">
        <v>58</v>
      </c>
    </row>
  </sheetData>
  <mergeCells count="34">
    <mergeCell ref="A5:G5"/>
    <mergeCell ref="A1:G1"/>
    <mergeCell ref="D6:G6"/>
    <mergeCell ref="B10:C10"/>
    <mergeCell ref="D35:F35"/>
    <mergeCell ref="D11:G11"/>
    <mergeCell ref="D13:G13"/>
    <mergeCell ref="B9:C9"/>
    <mergeCell ref="D34:F34"/>
    <mergeCell ref="B6:C6"/>
    <mergeCell ref="B15:C15"/>
    <mergeCell ref="A18:G18"/>
    <mergeCell ref="A3:G3"/>
    <mergeCell ref="D16:G16"/>
    <mergeCell ref="D7:G7"/>
    <mergeCell ref="A2:G2"/>
    <mergeCell ref="A33:G33"/>
    <mergeCell ref="D37:F37"/>
    <mergeCell ref="B14:C14"/>
    <mergeCell ref="D10:G10"/>
    <mergeCell ref="D39:F39"/>
    <mergeCell ref="B8:C8"/>
    <mergeCell ref="B13:C13"/>
    <mergeCell ref="D38:F38"/>
    <mergeCell ref="D36:F36"/>
    <mergeCell ref="B16:C16"/>
    <mergeCell ref="D9:G9"/>
    <mergeCell ref="B7:C7"/>
    <mergeCell ref="D12:G12"/>
    <mergeCell ref="D8:G8"/>
    <mergeCell ref="D15:G15"/>
    <mergeCell ref="D14:G14"/>
    <mergeCell ref="B12:C12"/>
    <mergeCell ref="B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opLeftCell="A7" workbookViewId="0">
      <selection sqref="A1:C1"/>
    </sheetView>
  </sheetViews>
  <sheetFormatPr defaultRowHeight="14.4" x14ac:dyDescent="0.55000000000000004"/>
  <cols>
    <col min="1" max="1" width="9" customWidth="1"/>
    <col min="2" max="2" width="47" customWidth="1"/>
    <col min="3" max="3" width="23" customWidth="1"/>
    <col min="4" max="4" width="28" customWidth="1"/>
    <col min="5" max="5" width="46" customWidth="1"/>
  </cols>
  <sheetData>
    <row r="1" spans="1:5" x14ac:dyDescent="0.55000000000000004">
      <c r="A1" s="45" t="s">
        <v>6</v>
      </c>
      <c r="B1" s="34"/>
      <c r="C1" s="34"/>
      <c r="E1" s="12" t="s">
        <v>71</v>
      </c>
    </row>
    <row r="2" spans="1:5" x14ac:dyDescent="0.55000000000000004">
      <c r="A2" s="47" t="s">
        <v>72</v>
      </c>
      <c r="B2" s="34"/>
      <c r="C2" s="34"/>
      <c r="E2" s="13" t="s">
        <v>73</v>
      </c>
    </row>
    <row r="3" spans="1:5" x14ac:dyDescent="0.55000000000000004">
      <c r="A3" s="47" t="s">
        <v>74</v>
      </c>
      <c r="B3" s="34"/>
      <c r="C3" s="34"/>
      <c r="E3" s="13" t="s">
        <v>75</v>
      </c>
    </row>
    <row r="5" spans="1:5" ht="26.05" customHeight="1" x14ac:dyDescent="0.55000000000000004">
      <c r="A5" s="46" t="s">
        <v>76</v>
      </c>
      <c r="B5" s="34"/>
      <c r="C5" s="34"/>
      <c r="D5" s="34"/>
      <c r="E5" s="34"/>
    </row>
    <row r="6" spans="1:5" ht="20.05" customHeight="1" x14ac:dyDescent="0.55000000000000004">
      <c r="A6" s="48" t="s">
        <v>77</v>
      </c>
      <c r="B6" s="34"/>
      <c r="C6" s="34"/>
      <c r="D6" s="34"/>
      <c r="E6" s="34"/>
    </row>
    <row r="7" spans="1:5" ht="18" customHeight="1" x14ac:dyDescent="0.55000000000000004">
      <c r="E7" s="14" t="s">
        <v>78</v>
      </c>
    </row>
    <row r="8" spans="1:5" ht="28" customHeight="1" x14ac:dyDescent="0.55000000000000004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</row>
    <row r="9" spans="1:5" ht="26.05" customHeight="1" x14ac:dyDescent="0.55000000000000004">
      <c r="A9" s="15" t="s">
        <v>84</v>
      </c>
      <c r="B9" s="16" t="s">
        <v>85</v>
      </c>
      <c r="C9" s="15"/>
      <c r="D9" s="17">
        <f>D10+D13+D14+D19+D20</f>
        <v>5335000000</v>
      </c>
      <c r="E9" s="17">
        <f>E10+E13+E14+E19+E20</f>
        <v>3980000000</v>
      </c>
    </row>
    <row r="10" spans="1:5" ht="23.05" customHeight="1" x14ac:dyDescent="0.55000000000000004">
      <c r="A10" s="18" t="s">
        <v>86</v>
      </c>
      <c r="B10" s="19" t="s">
        <v>87</v>
      </c>
      <c r="C10" s="18" t="s">
        <v>88</v>
      </c>
      <c r="D10" s="20">
        <f>D11+D12</f>
        <v>2450000000</v>
      </c>
      <c r="E10" s="20">
        <f>E11+E12</f>
        <v>1960000000</v>
      </c>
    </row>
    <row r="11" spans="1:5" ht="23.05" customHeight="1" x14ac:dyDescent="0.55000000000000004">
      <c r="A11" s="7" t="s">
        <v>89</v>
      </c>
      <c r="B11" s="8" t="s">
        <v>90</v>
      </c>
      <c r="C11" s="7"/>
      <c r="D11" s="9">
        <v>150000000</v>
      </c>
      <c r="E11" s="9">
        <v>120000000</v>
      </c>
    </row>
    <row r="12" spans="1:5" ht="23.05" customHeight="1" x14ac:dyDescent="0.55000000000000004">
      <c r="A12" s="7" t="s">
        <v>91</v>
      </c>
      <c r="B12" s="8" t="s">
        <v>92</v>
      </c>
      <c r="C12" s="7"/>
      <c r="D12" s="9">
        <v>2300000000</v>
      </c>
      <c r="E12" s="9">
        <v>1840000000</v>
      </c>
    </row>
    <row r="13" spans="1:5" ht="23.05" customHeight="1" x14ac:dyDescent="0.55000000000000004">
      <c r="A13" s="18" t="s">
        <v>93</v>
      </c>
      <c r="B13" s="19" t="s">
        <v>94</v>
      </c>
      <c r="C13" s="18" t="s">
        <v>95</v>
      </c>
      <c r="D13" s="20">
        <v>1000000000</v>
      </c>
      <c r="E13" s="20">
        <v>500000000</v>
      </c>
    </row>
    <row r="14" spans="1:5" ht="23.05" customHeight="1" x14ac:dyDescent="0.55000000000000004">
      <c r="A14" s="18" t="s">
        <v>96</v>
      </c>
      <c r="B14" s="19" t="s">
        <v>97</v>
      </c>
      <c r="C14" s="18" t="s">
        <v>98</v>
      </c>
      <c r="D14" s="20">
        <f>SUM(D15:D18)</f>
        <v>1370000000</v>
      </c>
      <c r="E14" s="20">
        <f>SUM(E15:E18)</f>
        <v>1120000000</v>
      </c>
    </row>
    <row r="15" spans="1:5" ht="23.05" customHeight="1" x14ac:dyDescent="0.55000000000000004">
      <c r="A15" s="7" t="s">
        <v>99</v>
      </c>
      <c r="B15" s="8" t="s">
        <v>100</v>
      </c>
      <c r="C15" s="7" t="s">
        <v>101</v>
      </c>
      <c r="D15" s="9">
        <v>1240000000</v>
      </c>
      <c r="E15" s="9">
        <v>980000000</v>
      </c>
    </row>
    <row r="16" spans="1:5" ht="23.05" customHeight="1" x14ac:dyDescent="0.55000000000000004">
      <c r="A16" s="7" t="s">
        <v>102</v>
      </c>
      <c r="B16" s="8" t="s">
        <v>103</v>
      </c>
      <c r="C16" s="7"/>
      <c r="D16" s="9">
        <v>185000000</v>
      </c>
      <c r="E16" s="9">
        <v>145000000</v>
      </c>
    </row>
    <row r="17" spans="1:5" ht="23.05" customHeight="1" x14ac:dyDescent="0.55000000000000004">
      <c r="A17" s="7" t="s">
        <v>104</v>
      </c>
      <c r="B17" s="8" t="s">
        <v>105</v>
      </c>
      <c r="C17" s="7"/>
      <c r="D17" s="9">
        <v>0</v>
      </c>
      <c r="E17" s="9">
        <v>30000000</v>
      </c>
    </row>
    <row r="18" spans="1:5" ht="23.05" customHeight="1" x14ac:dyDescent="0.55000000000000004">
      <c r="A18" s="7" t="s">
        <v>106</v>
      </c>
      <c r="B18" s="8" t="s">
        <v>107</v>
      </c>
      <c r="C18" s="7" t="s">
        <v>108</v>
      </c>
      <c r="D18" s="9">
        <v>-55000000</v>
      </c>
      <c r="E18" s="9">
        <v>-35000000</v>
      </c>
    </row>
    <row r="19" spans="1:5" ht="23.05" customHeight="1" x14ac:dyDescent="0.55000000000000004">
      <c r="A19" s="18" t="s">
        <v>109</v>
      </c>
      <c r="B19" s="19" t="s">
        <v>110</v>
      </c>
      <c r="C19" s="18" t="s">
        <v>111</v>
      </c>
      <c r="D19" s="20">
        <v>420000000</v>
      </c>
      <c r="E19" s="20">
        <v>320000000</v>
      </c>
    </row>
    <row r="20" spans="1:5" ht="23.05" customHeight="1" x14ac:dyDescent="0.55000000000000004">
      <c r="A20" s="18" t="s">
        <v>112</v>
      </c>
      <c r="B20" s="19" t="s">
        <v>113</v>
      </c>
      <c r="C20" s="18" t="s">
        <v>114</v>
      </c>
      <c r="D20" s="20">
        <v>95000000</v>
      </c>
      <c r="E20" s="20">
        <v>80000000</v>
      </c>
    </row>
    <row r="21" spans="1:5" ht="26.05" customHeight="1" x14ac:dyDescent="0.55000000000000004">
      <c r="A21" s="15" t="s">
        <v>115</v>
      </c>
      <c r="B21" s="16" t="s">
        <v>116</v>
      </c>
      <c r="C21" s="15"/>
      <c r="D21" s="17">
        <f>D22+D29+D30</f>
        <v>6615000000</v>
      </c>
      <c r="E21" s="17">
        <f>E22+E29+E30</f>
        <v>6260000000</v>
      </c>
    </row>
    <row r="22" spans="1:5" ht="23.05" customHeight="1" x14ac:dyDescent="0.55000000000000004">
      <c r="A22" s="18" t="s">
        <v>117</v>
      </c>
      <c r="B22" s="19" t="s">
        <v>118</v>
      </c>
      <c r="C22" s="18" t="s">
        <v>119</v>
      </c>
      <c r="D22" s="20">
        <f>D23+D26</f>
        <v>6070000000</v>
      </c>
      <c r="E22" s="20">
        <f>E23+E26</f>
        <v>5700000000</v>
      </c>
    </row>
    <row r="23" spans="1:5" ht="23.05" customHeight="1" x14ac:dyDescent="0.55000000000000004">
      <c r="A23" s="7" t="s">
        <v>120</v>
      </c>
      <c r="B23" s="8" t="s">
        <v>121</v>
      </c>
      <c r="C23" s="7"/>
      <c r="D23" s="9">
        <f>D24+D25</f>
        <v>1730000000</v>
      </c>
      <c r="E23" s="9">
        <f>E24+E25</f>
        <v>1620000000</v>
      </c>
    </row>
    <row r="24" spans="1:5" ht="23.05" customHeight="1" x14ac:dyDescent="0.55000000000000004">
      <c r="A24" s="7" t="s">
        <v>122</v>
      </c>
      <c r="B24" s="8" t="s">
        <v>123</v>
      </c>
      <c r="C24" s="7"/>
      <c r="D24" s="9">
        <v>2850000000</v>
      </c>
      <c r="E24" s="9">
        <v>2400000000</v>
      </c>
    </row>
    <row r="25" spans="1:5" ht="23.05" customHeight="1" x14ac:dyDescent="0.55000000000000004">
      <c r="A25" s="7" t="s">
        <v>124</v>
      </c>
      <c r="B25" s="8" t="s">
        <v>125</v>
      </c>
      <c r="C25" s="7"/>
      <c r="D25" s="9">
        <v>-1120000000</v>
      </c>
      <c r="E25" s="9">
        <v>-780000000</v>
      </c>
    </row>
    <row r="26" spans="1:5" ht="23.05" customHeight="1" x14ac:dyDescent="0.55000000000000004">
      <c r="A26" s="7" t="s">
        <v>126</v>
      </c>
      <c r="B26" s="8" t="s">
        <v>127</v>
      </c>
      <c r="C26" s="7"/>
      <c r="D26" s="9">
        <f>D27+D28</f>
        <v>4340000000</v>
      </c>
      <c r="E26" s="9">
        <f>E27+E28</f>
        <v>4080000000</v>
      </c>
    </row>
    <row r="27" spans="1:5" ht="23.05" customHeight="1" x14ac:dyDescent="0.55000000000000004">
      <c r="A27" s="7" t="s">
        <v>128</v>
      </c>
      <c r="B27" s="8" t="s">
        <v>123</v>
      </c>
      <c r="C27" s="7"/>
      <c r="D27" s="9">
        <v>6200000000</v>
      </c>
      <c r="E27" s="9">
        <v>5200000000</v>
      </c>
    </row>
    <row r="28" spans="1:5" ht="23.05" customHeight="1" x14ac:dyDescent="0.55000000000000004">
      <c r="A28" s="7" t="s">
        <v>129</v>
      </c>
      <c r="B28" s="8" t="s">
        <v>125</v>
      </c>
      <c r="C28" s="7"/>
      <c r="D28" s="9">
        <v>-1860000000</v>
      </c>
      <c r="E28" s="9">
        <v>-1120000000</v>
      </c>
    </row>
    <row r="29" spans="1:5" ht="23.05" customHeight="1" x14ac:dyDescent="0.55000000000000004">
      <c r="A29" s="18" t="s">
        <v>130</v>
      </c>
      <c r="B29" s="19" t="s">
        <v>131</v>
      </c>
      <c r="C29" s="18" t="s">
        <v>132</v>
      </c>
      <c r="D29" s="20">
        <v>380000000</v>
      </c>
      <c r="E29" s="20">
        <v>410000000</v>
      </c>
    </row>
    <row r="30" spans="1:5" ht="23.05" customHeight="1" x14ac:dyDescent="0.55000000000000004">
      <c r="A30" s="18" t="s">
        <v>133</v>
      </c>
      <c r="B30" s="19" t="s">
        <v>134</v>
      </c>
      <c r="C30" s="18" t="s">
        <v>135</v>
      </c>
      <c r="D30" s="20">
        <v>165000000</v>
      </c>
      <c r="E30" s="20">
        <v>150000000</v>
      </c>
    </row>
    <row r="31" spans="1:5" ht="28" customHeight="1" x14ac:dyDescent="0.55000000000000004">
      <c r="A31" s="21" t="s">
        <v>136</v>
      </c>
      <c r="B31" s="22" t="s">
        <v>137</v>
      </c>
      <c r="C31" s="21"/>
      <c r="D31" s="23">
        <f>D9+D21</f>
        <v>11950000000</v>
      </c>
      <c r="E31" s="23">
        <f>E9+E21</f>
        <v>10240000000</v>
      </c>
    </row>
    <row r="32" spans="1:5" ht="26.05" customHeight="1" x14ac:dyDescent="0.55000000000000004">
      <c r="A32" s="15" t="s">
        <v>138</v>
      </c>
      <c r="B32" s="16" t="s">
        <v>139</v>
      </c>
      <c r="C32" s="15"/>
      <c r="D32" s="17">
        <f>D33+D39</f>
        <v>2437000000</v>
      </c>
      <c r="E32" s="17">
        <f>E33+E39</f>
        <v>2235000000</v>
      </c>
    </row>
    <row r="33" spans="1:5" ht="23.05" customHeight="1" x14ac:dyDescent="0.55000000000000004">
      <c r="A33" s="18" t="s">
        <v>140</v>
      </c>
      <c r="B33" s="19" t="s">
        <v>141</v>
      </c>
      <c r="C33" s="18" t="s">
        <v>142</v>
      </c>
      <c r="D33" s="20">
        <f>SUM(D34:D38)</f>
        <v>1787000000</v>
      </c>
      <c r="E33" s="20">
        <f>SUM(E34:E38)</f>
        <v>1525000000</v>
      </c>
    </row>
    <row r="34" spans="1:5" ht="23.05" customHeight="1" x14ac:dyDescent="0.55000000000000004">
      <c r="A34" s="7" t="s">
        <v>143</v>
      </c>
      <c r="B34" s="8" t="s">
        <v>144</v>
      </c>
      <c r="C34" s="7"/>
      <c r="D34" s="9">
        <v>385000000</v>
      </c>
      <c r="E34" s="9">
        <v>310000000</v>
      </c>
    </row>
    <row r="35" spans="1:5" ht="23.05" customHeight="1" x14ac:dyDescent="0.55000000000000004">
      <c r="A35" s="7" t="s">
        <v>145</v>
      </c>
      <c r="B35" s="8" t="s">
        <v>146</v>
      </c>
      <c r="C35" s="7"/>
      <c r="D35" s="9">
        <v>215000000</v>
      </c>
      <c r="E35" s="9">
        <v>180000000</v>
      </c>
    </row>
    <row r="36" spans="1:5" ht="23.05" customHeight="1" x14ac:dyDescent="0.55000000000000004">
      <c r="A36" s="7" t="s">
        <v>147</v>
      </c>
      <c r="B36" s="8" t="s">
        <v>148</v>
      </c>
      <c r="C36" s="7" t="s">
        <v>149</v>
      </c>
      <c r="D36" s="9">
        <v>142000000</v>
      </c>
      <c r="E36" s="9">
        <v>125000000</v>
      </c>
    </row>
    <row r="37" spans="1:5" ht="23.05" customHeight="1" x14ac:dyDescent="0.55000000000000004">
      <c r="A37" s="7" t="s">
        <v>150</v>
      </c>
      <c r="B37" s="8" t="s">
        <v>151</v>
      </c>
      <c r="C37" s="7"/>
      <c r="D37" s="9">
        <v>195000000</v>
      </c>
      <c r="E37" s="9">
        <v>160000000</v>
      </c>
    </row>
    <row r="38" spans="1:5" ht="23.05" customHeight="1" x14ac:dyDescent="0.55000000000000004">
      <c r="A38" s="7" t="s">
        <v>152</v>
      </c>
      <c r="B38" s="8" t="s">
        <v>153</v>
      </c>
      <c r="C38" s="7" t="s">
        <v>154</v>
      </c>
      <c r="D38" s="9">
        <v>850000000</v>
      </c>
      <c r="E38" s="9">
        <v>750000000</v>
      </c>
    </row>
    <row r="39" spans="1:5" ht="23.05" customHeight="1" x14ac:dyDescent="0.55000000000000004">
      <c r="A39" s="18" t="s">
        <v>155</v>
      </c>
      <c r="B39" s="19" t="s">
        <v>156</v>
      </c>
      <c r="C39" s="18" t="s">
        <v>157</v>
      </c>
      <c r="D39" s="20">
        <v>650000000</v>
      </c>
      <c r="E39" s="20">
        <v>710000000</v>
      </c>
    </row>
    <row r="40" spans="1:5" ht="26.05" customHeight="1" x14ac:dyDescent="0.55000000000000004">
      <c r="A40" s="15" t="s">
        <v>158</v>
      </c>
      <c r="B40" s="16" t="s">
        <v>159</v>
      </c>
      <c r="C40" s="15"/>
      <c r="D40" s="17">
        <f>D41</f>
        <v>9513000000</v>
      </c>
      <c r="E40" s="17">
        <f>E41</f>
        <v>8005000000</v>
      </c>
    </row>
    <row r="41" spans="1:5" ht="23.05" customHeight="1" x14ac:dyDescent="0.55000000000000004">
      <c r="A41" s="18" t="s">
        <v>160</v>
      </c>
      <c r="B41" s="19" t="s">
        <v>161</v>
      </c>
      <c r="C41" s="18" t="s">
        <v>162</v>
      </c>
      <c r="D41" s="20">
        <f>D42+D43+D44</f>
        <v>9513000000</v>
      </c>
      <c r="E41" s="20">
        <f>E42+E43+E44</f>
        <v>8005000000</v>
      </c>
    </row>
    <row r="42" spans="1:5" ht="23.05" customHeight="1" x14ac:dyDescent="0.55000000000000004">
      <c r="A42" s="7" t="s">
        <v>163</v>
      </c>
      <c r="B42" s="8" t="s">
        <v>164</v>
      </c>
      <c r="C42" s="7"/>
      <c r="D42" s="9">
        <v>8000000000</v>
      </c>
      <c r="E42" s="9">
        <v>7000000000</v>
      </c>
    </row>
    <row r="43" spans="1:5" ht="23.05" customHeight="1" x14ac:dyDescent="0.55000000000000004">
      <c r="A43" s="7" t="s">
        <v>165</v>
      </c>
      <c r="B43" s="8" t="s">
        <v>166</v>
      </c>
      <c r="C43" s="7"/>
      <c r="D43" s="9">
        <v>425000000</v>
      </c>
      <c r="E43" s="9">
        <v>275000000</v>
      </c>
    </row>
    <row r="44" spans="1:5" ht="23.05" customHeight="1" x14ac:dyDescent="0.55000000000000004">
      <c r="A44" s="7" t="s">
        <v>167</v>
      </c>
      <c r="B44" s="8" t="s">
        <v>168</v>
      </c>
      <c r="C44" s="7"/>
      <c r="D44" s="9">
        <f>D45+D46</f>
        <v>1088000000</v>
      </c>
      <c r="E44" s="9">
        <f>E45+E46</f>
        <v>730000000</v>
      </c>
    </row>
    <row r="45" spans="1:5" ht="23.05" customHeight="1" x14ac:dyDescent="0.55000000000000004">
      <c r="A45" s="7" t="s">
        <v>169</v>
      </c>
      <c r="B45" s="8" t="s">
        <v>170</v>
      </c>
      <c r="C45" s="7"/>
      <c r="D45" s="9">
        <v>-420000000</v>
      </c>
      <c r="E45" s="9">
        <v>-490000000</v>
      </c>
    </row>
    <row r="46" spans="1:5" ht="23.05" customHeight="1" x14ac:dyDescent="0.55000000000000004">
      <c r="A46" s="7" t="s">
        <v>171</v>
      </c>
      <c r="B46" s="8" t="s">
        <v>172</v>
      </c>
      <c r="C46" s="7"/>
      <c r="D46" s="9">
        <v>1508000000</v>
      </c>
      <c r="E46" s="9">
        <v>1220000000</v>
      </c>
    </row>
    <row r="47" spans="1:5" ht="28" customHeight="1" x14ac:dyDescent="0.55000000000000004">
      <c r="A47" s="21" t="s">
        <v>173</v>
      </c>
      <c r="B47" s="22" t="s">
        <v>174</v>
      </c>
      <c r="C47" s="21"/>
      <c r="D47" s="23">
        <f>D32+D40</f>
        <v>11950000000</v>
      </c>
      <c r="E47" s="23">
        <f>E32+E40</f>
        <v>10240000000</v>
      </c>
    </row>
    <row r="49" spans="2:5" ht="25" customHeight="1" x14ac:dyDescent="0.55000000000000004">
      <c r="B49" s="49" t="s">
        <v>175</v>
      </c>
      <c r="C49" s="34"/>
      <c r="D49" s="24">
        <f>D31-D47</f>
        <v>0</v>
      </c>
      <c r="E49" s="24">
        <f>E31-E47</f>
        <v>0</v>
      </c>
    </row>
    <row r="52" spans="2:5" ht="41.4" x14ac:dyDescent="0.55000000000000004">
      <c r="B52" s="1" t="s">
        <v>176</v>
      </c>
      <c r="C52" s="1" t="s">
        <v>177</v>
      </c>
      <c r="E52" s="1" t="s">
        <v>178</v>
      </c>
    </row>
    <row r="56" spans="2:5" x14ac:dyDescent="0.55000000000000004">
      <c r="B56" s="1" t="s">
        <v>179</v>
      </c>
      <c r="C56" s="1" t="s">
        <v>180</v>
      </c>
      <c r="E56" s="1" t="s">
        <v>181</v>
      </c>
    </row>
  </sheetData>
  <mergeCells count="6">
    <mergeCell ref="A1:C1"/>
    <mergeCell ref="A5:E5"/>
    <mergeCell ref="A3:C3"/>
    <mergeCell ref="A6:E6"/>
    <mergeCell ref="B49:C4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opLeftCell="A22" workbookViewId="0">
      <selection sqref="A1:C1"/>
    </sheetView>
  </sheetViews>
  <sheetFormatPr defaultRowHeight="14.4" x14ac:dyDescent="0.55000000000000004"/>
  <cols>
    <col min="1" max="1" width="9" customWidth="1"/>
    <col min="2" max="2" width="61" customWidth="1"/>
    <col min="3" max="3" width="23" customWidth="1"/>
    <col min="4" max="4" width="25" customWidth="1"/>
    <col min="5" max="5" width="46" customWidth="1"/>
  </cols>
  <sheetData>
    <row r="1" spans="1:5" x14ac:dyDescent="0.55000000000000004">
      <c r="A1" s="45" t="s">
        <v>6</v>
      </c>
      <c r="B1" s="34"/>
      <c r="C1" s="34"/>
      <c r="E1" s="12" t="s">
        <v>182</v>
      </c>
    </row>
    <row r="2" spans="1:5" x14ac:dyDescent="0.55000000000000004">
      <c r="A2" s="47" t="s">
        <v>72</v>
      </c>
      <c r="B2" s="34"/>
      <c r="C2" s="34"/>
      <c r="E2" s="13" t="s">
        <v>73</v>
      </c>
    </row>
    <row r="3" spans="1:5" x14ac:dyDescent="0.55000000000000004">
      <c r="A3" s="47" t="s">
        <v>74</v>
      </c>
      <c r="B3" s="34"/>
      <c r="C3" s="34"/>
      <c r="E3" s="13" t="s">
        <v>75</v>
      </c>
    </row>
    <row r="5" spans="1:5" ht="26.05" customHeight="1" x14ac:dyDescent="0.55000000000000004">
      <c r="A5" s="46" t="s">
        <v>183</v>
      </c>
      <c r="B5" s="34"/>
      <c r="C5" s="34"/>
      <c r="D5" s="34"/>
      <c r="E5" s="34"/>
    </row>
    <row r="6" spans="1:5" ht="20.05" customHeight="1" x14ac:dyDescent="0.55000000000000004">
      <c r="A6" s="48" t="s">
        <v>184</v>
      </c>
      <c r="B6" s="34"/>
      <c r="C6" s="34"/>
      <c r="D6" s="34"/>
      <c r="E6" s="34"/>
    </row>
    <row r="7" spans="1:5" ht="18" customHeight="1" x14ac:dyDescent="0.55000000000000004">
      <c r="E7" s="14" t="s">
        <v>78</v>
      </c>
    </row>
    <row r="8" spans="1:5" ht="28" customHeight="1" x14ac:dyDescent="0.55000000000000004">
      <c r="A8" s="2" t="s">
        <v>79</v>
      </c>
      <c r="B8" s="2" t="s">
        <v>80</v>
      </c>
      <c r="C8" s="2" t="s">
        <v>81</v>
      </c>
      <c r="D8" s="2" t="s">
        <v>31</v>
      </c>
      <c r="E8" s="2" t="s">
        <v>32</v>
      </c>
    </row>
    <row r="9" spans="1:5" ht="24" customHeight="1" x14ac:dyDescent="0.55000000000000004">
      <c r="A9" s="7" t="s">
        <v>185</v>
      </c>
      <c r="B9" s="8" t="s">
        <v>186</v>
      </c>
      <c r="C9" s="7" t="s">
        <v>187</v>
      </c>
      <c r="D9" s="9">
        <v>12545000000</v>
      </c>
      <c r="E9" s="9">
        <v>10985000000</v>
      </c>
    </row>
    <row r="10" spans="1:5" ht="24" customHeight="1" x14ac:dyDescent="0.55000000000000004">
      <c r="A10" s="7" t="s">
        <v>188</v>
      </c>
      <c r="B10" s="8" t="s">
        <v>189</v>
      </c>
      <c r="C10" s="7" t="s">
        <v>190</v>
      </c>
      <c r="D10" s="9">
        <v>0</v>
      </c>
      <c r="E10" s="9">
        <v>0</v>
      </c>
    </row>
    <row r="11" spans="1:5" ht="24" customHeight="1" x14ac:dyDescent="0.55000000000000004">
      <c r="A11" s="15" t="s">
        <v>191</v>
      </c>
      <c r="B11" s="16" t="s">
        <v>192</v>
      </c>
      <c r="C11" s="15" t="s">
        <v>193</v>
      </c>
      <c r="D11" s="17">
        <f>D9-D10</f>
        <v>12545000000</v>
      </c>
      <c r="E11" s="17">
        <f>E9-E10</f>
        <v>10985000000</v>
      </c>
    </row>
    <row r="12" spans="1:5" ht="24" customHeight="1" x14ac:dyDescent="0.55000000000000004">
      <c r="A12" s="7" t="s">
        <v>194</v>
      </c>
      <c r="B12" s="8" t="s">
        <v>195</v>
      </c>
      <c r="C12" s="7" t="s">
        <v>196</v>
      </c>
      <c r="D12" s="9">
        <v>6899750000</v>
      </c>
      <c r="E12" s="9">
        <v>6151600000</v>
      </c>
    </row>
    <row r="13" spans="1:5" ht="24" customHeight="1" x14ac:dyDescent="0.55000000000000004">
      <c r="A13" s="15" t="s">
        <v>197</v>
      </c>
      <c r="B13" s="16" t="s">
        <v>198</v>
      </c>
      <c r="C13" s="15"/>
      <c r="D13" s="17">
        <f>D11-D12</f>
        <v>5645250000</v>
      </c>
      <c r="E13" s="17">
        <f>E11-E12</f>
        <v>4833400000</v>
      </c>
    </row>
    <row r="14" spans="1:5" ht="24" customHeight="1" x14ac:dyDescent="0.55000000000000004">
      <c r="A14" s="7" t="s">
        <v>199</v>
      </c>
      <c r="B14" s="8" t="s">
        <v>200</v>
      </c>
      <c r="C14" s="7" t="s">
        <v>201</v>
      </c>
      <c r="D14" s="9">
        <v>145000000</v>
      </c>
      <c r="E14" s="9">
        <v>95000000</v>
      </c>
    </row>
    <row r="15" spans="1:5" ht="24" customHeight="1" x14ac:dyDescent="0.55000000000000004">
      <c r="A15" s="7" t="s">
        <v>202</v>
      </c>
      <c r="B15" s="8" t="s">
        <v>203</v>
      </c>
      <c r="C15" s="7" t="s">
        <v>204</v>
      </c>
      <c r="D15" s="9">
        <v>110000000</v>
      </c>
      <c r="E15" s="9">
        <v>85000000</v>
      </c>
    </row>
    <row r="16" spans="1:5" ht="24" customHeight="1" x14ac:dyDescent="0.55000000000000004">
      <c r="A16" s="7" t="s">
        <v>205</v>
      </c>
      <c r="B16" s="8" t="s">
        <v>206</v>
      </c>
      <c r="C16" s="7"/>
      <c r="D16" s="9">
        <v>95000000</v>
      </c>
      <c r="E16" s="9">
        <v>72000000</v>
      </c>
    </row>
    <row r="17" spans="1:5" ht="24" customHeight="1" x14ac:dyDescent="0.55000000000000004">
      <c r="A17" s="7" t="s">
        <v>207</v>
      </c>
      <c r="B17" s="8" t="s">
        <v>208</v>
      </c>
      <c r="C17" s="7" t="s">
        <v>209</v>
      </c>
      <c r="D17" s="9">
        <v>1485000000</v>
      </c>
      <c r="E17" s="9">
        <v>1260000000</v>
      </c>
    </row>
    <row r="18" spans="1:5" ht="24" customHeight="1" x14ac:dyDescent="0.55000000000000004">
      <c r="A18" s="7" t="s">
        <v>210</v>
      </c>
      <c r="B18" s="8" t="s">
        <v>211</v>
      </c>
      <c r="C18" s="7" t="s">
        <v>212</v>
      </c>
      <c r="D18" s="9">
        <v>2310250000</v>
      </c>
      <c r="E18" s="9">
        <v>2063400000</v>
      </c>
    </row>
    <row r="19" spans="1:5" ht="24" customHeight="1" x14ac:dyDescent="0.55000000000000004">
      <c r="A19" s="15" t="s">
        <v>213</v>
      </c>
      <c r="B19" s="16" t="s">
        <v>214</v>
      </c>
      <c r="C19" s="15"/>
      <c r="D19" s="17">
        <f>D13+D14-D15-D17-D18</f>
        <v>1885000000</v>
      </c>
      <c r="E19" s="17">
        <f>E13+E14-E15-E17-E18</f>
        <v>1520000000</v>
      </c>
    </row>
    <row r="20" spans="1:5" ht="24" customHeight="1" x14ac:dyDescent="0.55000000000000004">
      <c r="A20" s="7" t="s">
        <v>215</v>
      </c>
      <c r="B20" s="8" t="s">
        <v>216</v>
      </c>
      <c r="C20" s="7" t="s">
        <v>217</v>
      </c>
      <c r="D20" s="9">
        <v>25000000</v>
      </c>
      <c r="E20" s="9">
        <v>15000000</v>
      </c>
    </row>
    <row r="21" spans="1:5" ht="24" customHeight="1" x14ac:dyDescent="0.55000000000000004">
      <c r="A21" s="7" t="s">
        <v>218</v>
      </c>
      <c r="B21" s="8" t="s">
        <v>219</v>
      </c>
      <c r="C21" s="7" t="s">
        <v>220</v>
      </c>
      <c r="D21" s="9">
        <v>25000000</v>
      </c>
      <c r="E21" s="9">
        <v>15000000</v>
      </c>
    </row>
    <row r="22" spans="1:5" ht="24" customHeight="1" x14ac:dyDescent="0.55000000000000004">
      <c r="A22" s="7" t="s">
        <v>221</v>
      </c>
      <c r="B22" s="8" t="s">
        <v>222</v>
      </c>
      <c r="C22" s="7"/>
      <c r="D22" s="9">
        <f>D20-D21</f>
        <v>0</v>
      </c>
      <c r="E22" s="9">
        <f>E20-E21</f>
        <v>0</v>
      </c>
    </row>
    <row r="23" spans="1:5" ht="28" customHeight="1" x14ac:dyDescent="0.55000000000000004">
      <c r="A23" s="21" t="s">
        <v>223</v>
      </c>
      <c r="B23" s="22" t="s">
        <v>224</v>
      </c>
      <c r="C23" s="21"/>
      <c r="D23" s="23">
        <f>D19+D22</f>
        <v>1885000000</v>
      </c>
      <c r="E23" s="23">
        <f>E19+E22</f>
        <v>1520000000</v>
      </c>
    </row>
    <row r="24" spans="1:5" ht="24" customHeight="1" x14ac:dyDescent="0.55000000000000004">
      <c r="A24" s="7" t="s">
        <v>225</v>
      </c>
      <c r="B24" s="8" t="s">
        <v>226</v>
      </c>
      <c r="C24" s="7" t="s">
        <v>227</v>
      </c>
      <c r="D24" s="9">
        <v>377000000</v>
      </c>
      <c r="E24" s="9">
        <v>304000000</v>
      </c>
    </row>
    <row r="25" spans="1:5" ht="24" customHeight="1" x14ac:dyDescent="0.55000000000000004">
      <c r="A25" s="7" t="s">
        <v>228</v>
      </c>
      <c r="B25" s="8" t="s">
        <v>229</v>
      </c>
      <c r="C25" s="7"/>
      <c r="D25" s="9">
        <v>0</v>
      </c>
      <c r="E25" s="9">
        <v>0</v>
      </c>
    </row>
    <row r="26" spans="1:5" ht="28" customHeight="1" x14ac:dyDescent="0.55000000000000004">
      <c r="A26" s="21" t="s">
        <v>230</v>
      </c>
      <c r="B26" s="22" t="s">
        <v>231</v>
      </c>
      <c r="C26" s="21"/>
      <c r="D26" s="23">
        <f>D23-D24-D25</f>
        <v>1508000000</v>
      </c>
      <c r="E26" s="23">
        <f>E23-E24-E25</f>
        <v>1216000000</v>
      </c>
    </row>
    <row r="27" spans="1:5" ht="24" customHeight="1" x14ac:dyDescent="0.55000000000000004">
      <c r="A27" s="7" t="s">
        <v>232</v>
      </c>
      <c r="B27" s="8" t="s">
        <v>233</v>
      </c>
      <c r="C27" s="7" t="s">
        <v>234</v>
      </c>
      <c r="D27" s="9">
        <f>ROUND(D26/800000, 0)</f>
        <v>1885</v>
      </c>
      <c r="E27" s="9">
        <f>ROUND(E26/700000, 0)</f>
        <v>1737</v>
      </c>
    </row>
    <row r="31" spans="1:5" ht="41.4" x14ac:dyDescent="0.55000000000000004">
      <c r="B31" s="1" t="s">
        <v>176</v>
      </c>
      <c r="C31" s="1" t="s">
        <v>177</v>
      </c>
      <c r="E31" s="1" t="s">
        <v>178</v>
      </c>
    </row>
    <row r="35" spans="2:5" x14ac:dyDescent="0.55000000000000004">
      <c r="B35" s="1" t="s">
        <v>179</v>
      </c>
      <c r="C35" s="1" t="s">
        <v>180</v>
      </c>
      <c r="E35" s="1" t="s">
        <v>181</v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37" workbookViewId="0">
      <selection sqref="A1:C1"/>
    </sheetView>
  </sheetViews>
  <sheetFormatPr defaultRowHeight="14.4" x14ac:dyDescent="0.55000000000000004"/>
  <cols>
    <col min="1" max="1" width="9" customWidth="1"/>
    <col min="2" max="2" width="63" customWidth="1"/>
    <col min="3" max="3" width="23" customWidth="1"/>
    <col min="4" max="4" width="24" customWidth="1"/>
    <col min="5" max="5" width="46" customWidth="1"/>
  </cols>
  <sheetData>
    <row r="1" spans="1:5" x14ac:dyDescent="0.55000000000000004">
      <c r="A1" s="45" t="s">
        <v>6</v>
      </c>
      <c r="B1" s="34"/>
      <c r="C1" s="34"/>
      <c r="E1" s="12" t="s">
        <v>235</v>
      </c>
    </row>
    <row r="2" spans="1:5" x14ac:dyDescent="0.55000000000000004">
      <c r="A2" s="47" t="s">
        <v>72</v>
      </c>
      <c r="B2" s="34"/>
      <c r="C2" s="34"/>
      <c r="E2" s="13" t="s">
        <v>73</v>
      </c>
    </row>
    <row r="3" spans="1:5" x14ac:dyDescent="0.55000000000000004">
      <c r="A3" s="47" t="s">
        <v>74</v>
      </c>
      <c r="B3" s="34"/>
      <c r="C3" s="34"/>
      <c r="E3" s="13" t="s">
        <v>75</v>
      </c>
    </row>
    <row r="5" spans="1:5" ht="26.05" customHeight="1" x14ac:dyDescent="0.55000000000000004">
      <c r="A5" s="46" t="s">
        <v>236</v>
      </c>
      <c r="B5" s="34"/>
      <c r="C5" s="34"/>
      <c r="D5" s="34"/>
      <c r="E5" s="34"/>
    </row>
    <row r="6" spans="1:5" ht="20.05" customHeight="1" x14ac:dyDescent="0.55000000000000004">
      <c r="A6" s="48" t="s">
        <v>184</v>
      </c>
      <c r="B6" s="34"/>
      <c r="C6" s="34"/>
      <c r="D6" s="34"/>
      <c r="E6" s="34"/>
    </row>
    <row r="7" spans="1:5" ht="18" customHeight="1" x14ac:dyDescent="0.55000000000000004">
      <c r="E7" s="14" t="s">
        <v>78</v>
      </c>
    </row>
    <row r="8" spans="1:5" ht="28" customHeight="1" x14ac:dyDescent="0.55000000000000004">
      <c r="A8" s="2" t="s">
        <v>79</v>
      </c>
      <c r="B8" s="2" t="s">
        <v>80</v>
      </c>
      <c r="C8" s="2" t="s">
        <v>81</v>
      </c>
      <c r="D8" s="2" t="s">
        <v>31</v>
      </c>
      <c r="E8" s="2" t="s">
        <v>32</v>
      </c>
    </row>
    <row r="9" spans="1:5" ht="26.05" customHeight="1" x14ac:dyDescent="0.55000000000000004">
      <c r="A9" s="15" t="s">
        <v>237</v>
      </c>
      <c r="B9" s="16" t="s">
        <v>238</v>
      </c>
      <c r="C9" s="15"/>
      <c r="D9" s="17"/>
      <c r="E9" s="17"/>
    </row>
    <row r="10" spans="1:5" ht="23.05" customHeight="1" x14ac:dyDescent="0.55000000000000004">
      <c r="A10" s="7" t="s">
        <v>185</v>
      </c>
      <c r="B10" s="8" t="s">
        <v>239</v>
      </c>
      <c r="C10" s="7"/>
      <c r="D10" s="9">
        <f>'3. KQKD'!D23</f>
        <v>1885000000</v>
      </c>
      <c r="E10" s="9">
        <f>'3. KQKD'!E23</f>
        <v>1520000000</v>
      </c>
    </row>
    <row r="11" spans="1:5" ht="23.05" customHeight="1" x14ac:dyDescent="0.55000000000000004">
      <c r="A11" s="7" t="s">
        <v>188</v>
      </c>
      <c r="B11" s="8" t="s">
        <v>240</v>
      </c>
      <c r="C11" s="7"/>
      <c r="D11" s="9"/>
      <c r="E11" s="9"/>
    </row>
    <row r="12" spans="1:5" ht="23.05" customHeight="1" x14ac:dyDescent="0.55000000000000004">
      <c r="A12" s="7" t="s">
        <v>241</v>
      </c>
      <c r="B12" s="8" t="s">
        <v>242</v>
      </c>
      <c r="C12" s="7"/>
      <c r="D12" s="9">
        <v>1080000000</v>
      </c>
      <c r="E12" s="9">
        <v>890000000</v>
      </c>
    </row>
    <row r="13" spans="1:5" ht="23.05" customHeight="1" x14ac:dyDescent="0.55000000000000004">
      <c r="A13" s="7" t="s">
        <v>243</v>
      </c>
      <c r="B13" s="8" t="s">
        <v>244</v>
      </c>
      <c r="C13" s="7"/>
      <c r="D13" s="9">
        <v>20000000</v>
      </c>
      <c r="E13" s="9">
        <v>15000000</v>
      </c>
    </row>
    <row r="14" spans="1:5" ht="23.05" customHeight="1" x14ac:dyDescent="0.55000000000000004">
      <c r="A14" s="7" t="s">
        <v>245</v>
      </c>
      <c r="B14" s="8" t="s">
        <v>246</v>
      </c>
      <c r="C14" s="7"/>
      <c r="D14" s="9">
        <v>95000000</v>
      </c>
      <c r="E14" s="9">
        <v>72000000</v>
      </c>
    </row>
    <row r="15" spans="1:5" ht="23.05" customHeight="1" x14ac:dyDescent="0.55000000000000004">
      <c r="A15" s="18" t="s">
        <v>247</v>
      </c>
      <c r="B15" s="19" t="s">
        <v>248</v>
      </c>
      <c r="C15" s="18"/>
      <c r="D15" s="20">
        <f>SUM(D10:D14)</f>
        <v>3080000000</v>
      </c>
      <c r="E15" s="20">
        <f>SUM(E10:E14)</f>
        <v>2497000000</v>
      </c>
    </row>
    <row r="16" spans="1:5" ht="23.05" customHeight="1" x14ac:dyDescent="0.55000000000000004">
      <c r="A16" s="7" t="s">
        <v>249</v>
      </c>
      <c r="B16" s="8" t="s">
        <v>250</v>
      </c>
      <c r="C16" s="7"/>
      <c r="D16" s="9">
        <v>-260000000</v>
      </c>
      <c r="E16" s="9">
        <v>-180000000</v>
      </c>
    </row>
    <row r="17" spans="1:5" ht="23.05" customHeight="1" x14ac:dyDescent="0.55000000000000004">
      <c r="A17" s="7" t="s">
        <v>191</v>
      </c>
      <c r="B17" s="8" t="s">
        <v>251</v>
      </c>
      <c r="C17" s="7"/>
      <c r="D17" s="9">
        <v>-100000000</v>
      </c>
      <c r="E17" s="9">
        <v>-80000000</v>
      </c>
    </row>
    <row r="18" spans="1:5" ht="23.05" customHeight="1" x14ac:dyDescent="0.55000000000000004">
      <c r="A18" s="7" t="s">
        <v>194</v>
      </c>
      <c r="B18" s="8" t="s">
        <v>252</v>
      </c>
      <c r="C18" s="7"/>
      <c r="D18" s="9">
        <v>110000000</v>
      </c>
      <c r="E18" s="9">
        <v>95000000</v>
      </c>
    </row>
    <row r="19" spans="1:5" ht="23.05" customHeight="1" x14ac:dyDescent="0.55000000000000004">
      <c r="A19" s="7" t="s">
        <v>253</v>
      </c>
      <c r="B19" s="8" t="s">
        <v>254</v>
      </c>
      <c r="C19" s="7"/>
      <c r="D19" s="9">
        <v>-95000000</v>
      </c>
      <c r="E19" s="9">
        <v>-72000000</v>
      </c>
    </row>
    <row r="20" spans="1:5" ht="23.05" customHeight="1" x14ac:dyDescent="0.55000000000000004">
      <c r="A20" s="7" t="s">
        <v>255</v>
      </c>
      <c r="B20" s="8" t="s">
        <v>256</v>
      </c>
      <c r="C20" s="7"/>
      <c r="D20" s="9">
        <v>-360000000</v>
      </c>
      <c r="E20" s="9">
        <v>-290000000</v>
      </c>
    </row>
    <row r="21" spans="1:5" ht="23.05" customHeight="1" x14ac:dyDescent="0.55000000000000004">
      <c r="A21" s="18" t="s">
        <v>197</v>
      </c>
      <c r="B21" s="19" t="s">
        <v>257</v>
      </c>
      <c r="C21" s="18"/>
      <c r="D21" s="20">
        <f>SUM(D15:D20)</f>
        <v>2375000000</v>
      </c>
      <c r="E21" s="20">
        <f>SUM(E15:E20)</f>
        <v>1970000000</v>
      </c>
    </row>
    <row r="22" spans="1:5" ht="26.05" customHeight="1" x14ac:dyDescent="0.55000000000000004">
      <c r="A22" s="15" t="s">
        <v>258</v>
      </c>
      <c r="B22" s="16" t="s">
        <v>259</v>
      </c>
      <c r="C22" s="15"/>
      <c r="D22" s="17"/>
      <c r="E22" s="17"/>
    </row>
    <row r="23" spans="1:5" ht="23.05" customHeight="1" x14ac:dyDescent="0.55000000000000004">
      <c r="A23" s="7" t="s">
        <v>199</v>
      </c>
      <c r="B23" s="8" t="s">
        <v>260</v>
      </c>
      <c r="C23" s="7"/>
      <c r="D23" s="9">
        <v>-1850000000</v>
      </c>
      <c r="E23" s="9">
        <v>-1450000000</v>
      </c>
    </row>
    <row r="24" spans="1:5" ht="23.05" customHeight="1" x14ac:dyDescent="0.55000000000000004">
      <c r="A24" s="7" t="s">
        <v>205</v>
      </c>
      <c r="B24" s="8" t="s">
        <v>261</v>
      </c>
      <c r="C24" s="7"/>
      <c r="D24" s="9">
        <v>-500000000</v>
      </c>
      <c r="E24" s="9">
        <v>-500000000</v>
      </c>
    </row>
    <row r="25" spans="1:5" ht="23.05" customHeight="1" x14ac:dyDescent="0.55000000000000004">
      <c r="A25" s="7" t="s">
        <v>262</v>
      </c>
      <c r="B25" s="8" t="s">
        <v>263</v>
      </c>
      <c r="C25" s="7"/>
      <c r="D25" s="9">
        <v>145000000</v>
      </c>
      <c r="E25" s="9">
        <v>95000000</v>
      </c>
    </row>
    <row r="26" spans="1:5" ht="23.05" customHeight="1" x14ac:dyDescent="0.55000000000000004">
      <c r="A26" s="18" t="s">
        <v>213</v>
      </c>
      <c r="B26" s="19" t="s">
        <v>264</v>
      </c>
      <c r="C26" s="18"/>
      <c r="D26" s="20">
        <f>SUM(D23:D25)</f>
        <v>-2205000000</v>
      </c>
      <c r="E26" s="20">
        <f>SUM(E23:E25)</f>
        <v>-1855000000</v>
      </c>
    </row>
    <row r="27" spans="1:5" ht="26.05" customHeight="1" x14ac:dyDescent="0.55000000000000004">
      <c r="A27" s="15" t="s">
        <v>265</v>
      </c>
      <c r="B27" s="16" t="s">
        <v>266</v>
      </c>
      <c r="C27" s="15"/>
      <c r="D27" s="17"/>
      <c r="E27" s="17"/>
    </row>
    <row r="28" spans="1:5" ht="23.05" customHeight="1" x14ac:dyDescent="0.55000000000000004">
      <c r="A28" s="7" t="s">
        <v>215</v>
      </c>
      <c r="B28" s="8" t="s">
        <v>267</v>
      </c>
      <c r="C28" s="7"/>
      <c r="D28" s="9">
        <v>1000000000</v>
      </c>
      <c r="E28" s="9">
        <v>1000000000</v>
      </c>
    </row>
    <row r="29" spans="1:5" ht="23.05" customHeight="1" x14ac:dyDescent="0.55000000000000004">
      <c r="A29" s="7" t="s">
        <v>268</v>
      </c>
      <c r="B29" s="8" t="s">
        <v>269</v>
      </c>
      <c r="C29" s="7"/>
      <c r="D29" s="9">
        <v>850000000</v>
      </c>
      <c r="E29" s="9">
        <v>750000000</v>
      </c>
    </row>
    <row r="30" spans="1:5" ht="23.05" customHeight="1" x14ac:dyDescent="0.55000000000000004">
      <c r="A30" s="7" t="s">
        <v>270</v>
      </c>
      <c r="B30" s="8" t="s">
        <v>271</v>
      </c>
      <c r="C30" s="7"/>
      <c r="D30" s="9">
        <v>-810000000</v>
      </c>
      <c r="E30" s="9">
        <v>-680000000</v>
      </c>
    </row>
    <row r="31" spans="1:5" ht="23.05" customHeight="1" x14ac:dyDescent="0.55000000000000004">
      <c r="A31" s="7" t="s">
        <v>272</v>
      </c>
      <c r="B31" s="8" t="s">
        <v>273</v>
      </c>
      <c r="C31" s="7"/>
      <c r="D31" s="9">
        <v>-720000000</v>
      </c>
      <c r="E31" s="9">
        <v>-695000000</v>
      </c>
    </row>
    <row r="32" spans="1:5" ht="23.05" customHeight="1" x14ac:dyDescent="0.55000000000000004">
      <c r="A32" s="18" t="s">
        <v>221</v>
      </c>
      <c r="B32" s="19" t="s">
        <v>274</v>
      </c>
      <c r="C32" s="18"/>
      <c r="D32" s="20">
        <f>SUM(D28:D31)</f>
        <v>320000000</v>
      </c>
      <c r="E32" s="20">
        <f>SUM(E28:E31)</f>
        <v>375000000</v>
      </c>
    </row>
    <row r="33" spans="1:5" ht="28" customHeight="1" x14ac:dyDescent="0.55000000000000004">
      <c r="A33" s="21" t="s">
        <v>223</v>
      </c>
      <c r="B33" s="22" t="s">
        <v>275</v>
      </c>
      <c r="C33" s="21"/>
      <c r="D33" s="23">
        <f>D21+D26+D32</f>
        <v>490000000</v>
      </c>
      <c r="E33" s="23">
        <f>E21+E26+E32</f>
        <v>490000000</v>
      </c>
    </row>
    <row r="34" spans="1:5" ht="23.05" customHeight="1" x14ac:dyDescent="0.55000000000000004">
      <c r="A34" s="7" t="s">
        <v>230</v>
      </c>
      <c r="B34" s="8" t="s">
        <v>276</v>
      </c>
      <c r="C34" s="7"/>
      <c r="D34" s="9">
        <v>1960000000</v>
      </c>
      <c r="E34" s="9">
        <v>1370000000</v>
      </c>
    </row>
    <row r="35" spans="1:5" ht="23.05" customHeight="1" x14ac:dyDescent="0.55000000000000004">
      <c r="A35" s="7" t="s">
        <v>277</v>
      </c>
      <c r="B35" s="8" t="s">
        <v>278</v>
      </c>
      <c r="C35" s="7"/>
      <c r="D35" s="9">
        <v>0</v>
      </c>
      <c r="E35" s="9">
        <v>0</v>
      </c>
    </row>
    <row r="36" spans="1:5" ht="28" customHeight="1" x14ac:dyDescent="0.55000000000000004">
      <c r="A36" s="21" t="s">
        <v>232</v>
      </c>
      <c r="B36" s="22" t="s">
        <v>279</v>
      </c>
      <c r="C36" s="21" t="s">
        <v>88</v>
      </c>
      <c r="D36" s="23">
        <f>D33+D34+D35</f>
        <v>2450000000</v>
      </c>
      <c r="E36" s="23">
        <f>E33+E34+E35</f>
        <v>1860000000</v>
      </c>
    </row>
    <row r="40" spans="1:5" ht="41.4" x14ac:dyDescent="0.55000000000000004">
      <c r="B40" s="1" t="s">
        <v>176</v>
      </c>
      <c r="C40" s="1" t="s">
        <v>177</v>
      </c>
      <c r="E40" s="1" t="s">
        <v>178</v>
      </c>
    </row>
    <row r="44" spans="1:5" x14ac:dyDescent="0.55000000000000004">
      <c r="B44" s="1" t="s">
        <v>179</v>
      </c>
      <c r="C44" s="1" t="s">
        <v>180</v>
      </c>
      <c r="E44" s="1" t="s">
        <v>181</v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opLeftCell="A34" workbookViewId="0">
      <selection activeCell="D61" sqref="D61"/>
    </sheetView>
  </sheetViews>
  <sheetFormatPr defaultRowHeight="14.4" x14ac:dyDescent="0.55000000000000004"/>
  <cols>
    <col min="1" max="1" width="9" customWidth="1"/>
    <col min="2" max="2" width="56" customWidth="1"/>
    <col min="3" max="3" width="28" customWidth="1"/>
    <col min="4" max="4" width="45" customWidth="1"/>
    <col min="5" max="5" width="46" customWidth="1"/>
    <col min="6" max="6" width="32" customWidth="1"/>
  </cols>
  <sheetData>
    <row r="1" spans="1:6" x14ac:dyDescent="0.55000000000000004">
      <c r="A1" s="45" t="s">
        <v>6</v>
      </c>
      <c r="B1" s="34"/>
      <c r="C1" s="34"/>
      <c r="E1" s="12" t="s">
        <v>280</v>
      </c>
    </row>
    <row r="2" spans="1:6" x14ac:dyDescent="0.55000000000000004">
      <c r="A2" s="47" t="s">
        <v>72</v>
      </c>
      <c r="B2" s="34"/>
      <c r="C2" s="34"/>
      <c r="E2" s="13" t="s">
        <v>73</v>
      </c>
    </row>
    <row r="3" spans="1:6" x14ac:dyDescent="0.55000000000000004">
      <c r="A3" s="47" t="s">
        <v>74</v>
      </c>
      <c r="B3" s="34"/>
      <c r="C3" s="34"/>
      <c r="E3" s="13" t="s">
        <v>75</v>
      </c>
    </row>
    <row r="5" spans="1:6" ht="26.05" customHeight="1" x14ac:dyDescent="0.55000000000000004">
      <c r="A5" s="46" t="s">
        <v>281</v>
      </c>
      <c r="B5" s="34"/>
      <c r="C5" s="34"/>
      <c r="D5" s="34"/>
      <c r="E5" s="34"/>
    </row>
    <row r="6" spans="1:6" ht="20.05" customHeight="1" x14ac:dyDescent="0.55000000000000004">
      <c r="A6" s="48" t="s">
        <v>184</v>
      </c>
      <c r="B6" s="34"/>
      <c r="C6" s="34"/>
      <c r="D6" s="34"/>
      <c r="E6" s="34"/>
    </row>
    <row r="7" spans="1:6" ht="18" customHeight="1" x14ac:dyDescent="0.55000000000000004">
      <c r="E7" s="14" t="s">
        <v>78</v>
      </c>
    </row>
    <row r="9" spans="1:6" ht="26.05" customHeight="1" x14ac:dyDescent="0.55000000000000004">
      <c r="A9" s="42" t="s">
        <v>282</v>
      </c>
      <c r="B9" s="34"/>
      <c r="C9" s="34"/>
      <c r="D9" s="34"/>
      <c r="E9" s="34"/>
      <c r="F9" s="34"/>
    </row>
    <row r="10" spans="1:6" ht="28" customHeight="1" x14ac:dyDescent="0.55000000000000004">
      <c r="A10" s="2" t="s">
        <v>28</v>
      </c>
      <c r="B10" s="2" t="s">
        <v>283</v>
      </c>
      <c r="C10" s="2" t="s">
        <v>82</v>
      </c>
      <c r="D10" s="2" t="s">
        <v>83</v>
      </c>
      <c r="E10" s="2" t="s">
        <v>284</v>
      </c>
      <c r="F10" s="2" t="s">
        <v>285</v>
      </c>
    </row>
    <row r="11" spans="1:6" ht="22" customHeight="1" x14ac:dyDescent="0.55000000000000004">
      <c r="A11" s="7">
        <v>1</v>
      </c>
      <c r="B11" s="8" t="s">
        <v>286</v>
      </c>
      <c r="C11" s="9">
        <v>150000000</v>
      </c>
      <c r="D11" s="9">
        <v>120000000</v>
      </c>
      <c r="E11" s="8" t="s">
        <v>287</v>
      </c>
      <c r="F11" s="8" t="s">
        <v>288</v>
      </c>
    </row>
    <row r="12" spans="1:6" ht="22" customHeight="1" x14ac:dyDescent="0.55000000000000004">
      <c r="A12" s="7">
        <v>2</v>
      </c>
      <c r="B12" s="8" t="s">
        <v>289</v>
      </c>
      <c r="C12" s="9">
        <v>1850000000</v>
      </c>
      <c r="D12" s="9">
        <v>1420000000</v>
      </c>
      <c r="E12" s="8" t="s">
        <v>290</v>
      </c>
      <c r="F12" s="8" t="s">
        <v>291</v>
      </c>
    </row>
    <row r="13" spans="1:6" ht="22" customHeight="1" x14ac:dyDescent="0.55000000000000004">
      <c r="A13" s="7">
        <v>3</v>
      </c>
      <c r="B13" s="8" t="s">
        <v>292</v>
      </c>
      <c r="C13" s="9">
        <v>450000000</v>
      </c>
      <c r="D13" s="9">
        <v>310000000</v>
      </c>
      <c r="E13" s="8" t="s">
        <v>293</v>
      </c>
      <c r="F13" s="8" t="s">
        <v>294</v>
      </c>
    </row>
    <row r="14" spans="1:6" ht="24" customHeight="1" x14ac:dyDescent="0.55000000000000004">
      <c r="A14" s="50" t="s">
        <v>295</v>
      </c>
      <c r="B14" s="50"/>
      <c r="C14" s="26">
        <f>SUM(C11:C13)</f>
        <v>2450000000</v>
      </c>
      <c r="D14" s="26">
        <f>SUM(D11:D13)</f>
        <v>1850000000</v>
      </c>
      <c r="E14" s="25"/>
      <c r="F14" s="25"/>
    </row>
    <row r="16" spans="1:6" ht="26.05" customHeight="1" x14ac:dyDescent="0.55000000000000004">
      <c r="A16" s="42" t="s">
        <v>296</v>
      </c>
      <c r="B16" s="34"/>
      <c r="C16" s="34"/>
      <c r="D16" s="34"/>
      <c r="E16" s="34"/>
      <c r="F16" s="34"/>
    </row>
    <row r="17" spans="1:6" ht="28" customHeight="1" x14ac:dyDescent="0.55000000000000004">
      <c r="A17" s="2" t="s">
        <v>297</v>
      </c>
      <c r="B17" s="2" t="s">
        <v>298</v>
      </c>
      <c r="C17" s="2" t="s">
        <v>299</v>
      </c>
      <c r="D17" s="2" t="s">
        <v>300</v>
      </c>
      <c r="E17" s="2" t="s">
        <v>301</v>
      </c>
      <c r="F17" s="2" t="s">
        <v>302</v>
      </c>
    </row>
    <row r="18" spans="1:6" ht="22" customHeight="1" x14ac:dyDescent="0.55000000000000004">
      <c r="A18" s="7" t="s">
        <v>303</v>
      </c>
      <c r="B18" s="8" t="s">
        <v>304</v>
      </c>
      <c r="C18" s="9">
        <v>350000000</v>
      </c>
      <c r="D18" s="9">
        <v>350000000</v>
      </c>
      <c r="E18" s="9">
        <v>0</v>
      </c>
      <c r="F18" s="9">
        <v>0</v>
      </c>
    </row>
    <row r="19" spans="1:6" ht="22" customHeight="1" x14ac:dyDescent="0.55000000000000004">
      <c r="A19" s="7" t="s">
        <v>305</v>
      </c>
      <c r="B19" s="8" t="s">
        <v>306</v>
      </c>
      <c r="C19" s="9">
        <v>275000000</v>
      </c>
      <c r="D19" s="9">
        <v>0</v>
      </c>
      <c r="E19" s="27">
        <v>275000000</v>
      </c>
      <c r="F19" s="9">
        <v>55000000</v>
      </c>
    </row>
    <row r="20" spans="1:6" ht="22" customHeight="1" x14ac:dyDescent="0.55000000000000004">
      <c r="A20" s="7" t="s">
        <v>307</v>
      </c>
      <c r="B20" s="8" t="s">
        <v>308</v>
      </c>
      <c r="C20" s="9">
        <v>195000000</v>
      </c>
      <c r="D20" s="9">
        <v>195000000</v>
      </c>
      <c r="E20" s="9">
        <v>0</v>
      </c>
      <c r="F20" s="9">
        <v>0</v>
      </c>
    </row>
    <row r="21" spans="1:6" ht="22" customHeight="1" x14ac:dyDescent="0.55000000000000004">
      <c r="A21" s="7" t="s">
        <v>309</v>
      </c>
      <c r="B21" s="8" t="s">
        <v>310</v>
      </c>
      <c r="C21" s="9">
        <v>165000000</v>
      </c>
      <c r="D21" s="9">
        <v>165000000</v>
      </c>
      <c r="E21" s="9">
        <v>0</v>
      </c>
      <c r="F21" s="9">
        <v>0</v>
      </c>
    </row>
    <row r="22" spans="1:6" ht="22" customHeight="1" x14ac:dyDescent="0.55000000000000004">
      <c r="A22" s="7" t="s">
        <v>311</v>
      </c>
      <c r="B22" s="8" t="s">
        <v>312</v>
      </c>
      <c r="C22" s="9">
        <v>255000000</v>
      </c>
      <c r="D22" s="9">
        <v>255000000</v>
      </c>
      <c r="E22" s="9">
        <v>0</v>
      </c>
      <c r="F22" s="9">
        <v>0</v>
      </c>
    </row>
    <row r="23" spans="1:6" ht="24" customHeight="1" x14ac:dyDescent="0.55000000000000004">
      <c r="A23" s="50" t="s">
        <v>313</v>
      </c>
      <c r="B23" s="50"/>
      <c r="C23" s="26">
        <f>SUM(C18:C22)</f>
        <v>1240000000</v>
      </c>
      <c r="D23" s="26">
        <f>SUM(D18:D22)</f>
        <v>965000000</v>
      </c>
      <c r="E23" s="26">
        <f>SUM(E18:E22)</f>
        <v>275000000</v>
      </c>
      <c r="F23" s="26">
        <f>SUM(F18:F22)</f>
        <v>55000000</v>
      </c>
    </row>
    <row r="25" spans="1:6" ht="26.05" customHeight="1" x14ac:dyDescent="0.55000000000000004">
      <c r="A25" s="42" t="s">
        <v>314</v>
      </c>
      <c r="B25" s="34"/>
      <c r="C25" s="34"/>
      <c r="D25" s="34"/>
      <c r="E25" s="34"/>
      <c r="F25" s="34"/>
    </row>
    <row r="26" spans="1:6" ht="28" customHeight="1" x14ac:dyDescent="0.55000000000000004">
      <c r="A26" s="2" t="s">
        <v>28</v>
      </c>
      <c r="B26" s="2" t="s">
        <v>315</v>
      </c>
      <c r="C26" s="2" t="s">
        <v>316</v>
      </c>
      <c r="D26" s="2" t="s">
        <v>317</v>
      </c>
      <c r="E26" s="2" t="s">
        <v>318</v>
      </c>
      <c r="F26" s="2" t="s">
        <v>319</v>
      </c>
    </row>
    <row r="27" spans="1:6" ht="22" customHeight="1" x14ac:dyDescent="0.55000000000000004">
      <c r="A27" s="7">
        <v>1</v>
      </c>
      <c r="B27" s="8" t="s">
        <v>320</v>
      </c>
      <c r="C27" s="9">
        <v>5268900000</v>
      </c>
      <c r="D27" s="10">
        <f>C27/$C$32</f>
        <v>0.42</v>
      </c>
      <c r="E27" s="9">
        <v>4394000000</v>
      </c>
      <c r="F27" s="10">
        <f t="shared" ref="F27:F32" si="0">(C27-E27)/E27</f>
        <v>0.19911242603550297</v>
      </c>
    </row>
    <row r="28" spans="1:6" ht="22" customHeight="1" x14ac:dyDescent="0.55000000000000004">
      <c r="A28" s="7">
        <v>2</v>
      </c>
      <c r="B28" s="8" t="s">
        <v>321</v>
      </c>
      <c r="C28" s="9">
        <v>4139850000</v>
      </c>
      <c r="D28" s="10">
        <f>C28/$C$32</f>
        <v>0.33</v>
      </c>
      <c r="E28" s="9">
        <v>3844750000</v>
      </c>
      <c r="F28" s="10">
        <f t="shared" si="0"/>
        <v>7.6754015215553681E-2</v>
      </c>
    </row>
    <row r="29" spans="1:6" ht="22" customHeight="1" x14ac:dyDescent="0.55000000000000004">
      <c r="A29" s="7">
        <v>3</v>
      </c>
      <c r="B29" s="8" t="s">
        <v>322</v>
      </c>
      <c r="C29" s="9">
        <v>1630850000</v>
      </c>
      <c r="D29" s="10">
        <f>C29/$C$32</f>
        <v>0.13</v>
      </c>
      <c r="E29" s="9">
        <v>1428050000</v>
      </c>
      <c r="F29" s="10">
        <f t="shared" si="0"/>
        <v>0.14201183431952663</v>
      </c>
    </row>
    <row r="30" spans="1:6" ht="22" customHeight="1" x14ac:dyDescent="0.55000000000000004">
      <c r="A30" s="7">
        <v>4</v>
      </c>
      <c r="B30" s="8" t="s">
        <v>323</v>
      </c>
      <c r="C30" s="9">
        <v>985400000</v>
      </c>
      <c r="D30" s="10">
        <f>C30/$C$32</f>
        <v>7.8549222797927462E-2</v>
      </c>
      <c r="E30" s="9">
        <v>818200000</v>
      </c>
      <c r="F30" s="10">
        <f t="shared" si="0"/>
        <v>0.20435101442190173</v>
      </c>
    </row>
    <row r="31" spans="1:6" ht="22" customHeight="1" x14ac:dyDescent="0.55000000000000004">
      <c r="A31" s="7">
        <v>5</v>
      </c>
      <c r="B31" s="8" t="s">
        <v>324</v>
      </c>
      <c r="C31" s="9">
        <v>520000000</v>
      </c>
      <c r="D31" s="10">
        <f>C31/$C$32</f>
        <v>4.145077720207254E-2</v>
      </c>
      <c r="E31" s="9">
        <v>500000000</v>
      </c>
      <c r="F31" s="10">
        <f t="shared" si="0"/>
        <v>0.04</v>
      </c>
    </row>
    <row r="32" spans="1:6" ht="25" customHeight="1" x14ac:dyDescent="0.55000000000000004">
      <c r="A32" s="50" t="s">
        <v>325</v>
      </c>
      <c r="B32" s="50"/>
      <c r="C32" s="26">
        <f>SUM(C27:C31)</f>
        <v>12545000000</v>
      </c>
      <c r="D32" s="28"/>
      <c r="E32" s="26">
        <f>SUM(E27:E31)</f>
        <v>10985000000</v>
      </c>
      <c r="F32" s="28">
        <f t="shared" si="0"/>
        <v>0.14201183431952663</v>
      </c>
    </row>
  </sheetData>
  <mergeCells count="11">
    <mergeCell ref="A16:F16"/>
    <mergeCell ref="A1:C1"/>
    <mergeCell ref="A9:F9"/>
    <mergeCell ref="A32:B32"/>
    <mergeCell ref="A5:E5"/>
    <mergeCell ref="A3:C3"/>
    <mergeCell ref="A14:B14"/>
    <mergeCell ref="A23:B23"/>
    <mergeCell ref="A6:E6"/>
    <mergeCell ref="A2:C2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workbookViewId="0">
      <selection sqref="A1:C1"/>
    </sheetView>
  </sheetViews>
  <sheetFormatPr defaultRowHeight="14.4" x14ac:dyDescent="0.55000000000000004"/>
  <cols>
    <col min="1" max="1" width="7" customWidth="1"/>
    <col min="2" max="2" width="55" customWidth="1"/>
    <col min="3" max="3" width="49" customWidth="1"/>
    <col min="4" max="5" width="126" customWidth="1"/>
    <col min="6" max="6" width="20" customWidth="1"/>
    <col min="7" max="7" width="45" customWidth="1"/>
  </cols>
  <sheetData>
    <row r="1" spans="1:7" x14ac:dyDescent="0.55000000000000004">
      <c r="A1" s="45" t="s">
        <v>6</v>
      </c>
      <c r="B1" s="34"/>
      <c r="C1" s="34"/>
      <c r="E1" s="12" t="s">
        <v>326</v>
      </c>
    </row>
    <row r="2" spans="1:7" x14ac:dyDescent="0.55000000000000004">
      <c r="A2" s="47" t="s">
        <v>72</v>
      </c>
      <c r="B2" s="34"/>
      <c r="C2" s="34"/>
      <c r="E2" s="13" t="s">
        <v>73</v>
      </c>
    </row>
    <row r="3" spans="1:7" x14ac:dyDescent="0.55000000000000004">
      <c r="A3" s="47" t="s">
        <v>74</v>
      </c>
      <c r="B3" s="34"/>
      <c r="C3" s="34"/>
      <c r="E3" s="13" t="s">
        <v>75</v>
      </c>
    </row>
    <row r="5" spans="1:7" ht="26.05" customHeight="1" x14ac:dyDescent="0.55000000000000004">
      <c r="A5" s="46" t="s">
        <v>327</v>
      </c>
      <c r="B5" s="34"/>
      <c r="C5" s="34"/>
      <c r="D5" s="34"/>
      <c r="E5" s="34"/>
    </row>
    <row r="6" spans="1:7" ht="20.05" customHeight="1" x14ac:dyDescent="0.55000000000000004">
      <c r="A6" s="48" t="s">
        <v>328</v>
      </c>
      <c r="B6" s="34"/>
      <c r="C6" s="34"/>
      <c r="D6" s="34"/>
      <c r="E6" s="34"/>
    </row>
    <row r="7" spans="1:7" ht="18" customHeight="1" x14ac:dyDescent="0.55000000000000004">
      <c r="E7" s="14" t="s">
        <v>329</v>
      </c>
    </row>
    <row r="8" spans="1:7" ht="28" customHeight="1" x14ac:dyDescent="0.55000000000000004">
      <c r="A8" s="2" t="s">
        <v>28</v>
      </c>
      <c r="B8" s="2" t="s">
        <v>330</v>
      </c>
      <c r="C8" s="2" t="s">
        <v>331</v>
      </c>
      <c r="D8" s="2" t="s">
        <v>184</v>
      </c>
      <c r="E8" s="2" t="s">
        <v>332</v>
      </c>
      <c r="F8" s="2" t="s">
        <v>333</v>
      </c>
      <c r="G8" s="2" t="s">
        <v>334</v>
      </c>
    </row>
    <row r="9" spans="1:7" ht="26.05" customHeight="1" x14ac:dyDescent="0.55000000000000004">
      <c r="A9" s="15" t="s">
        <v>237</v>
      </c>
      <c r="B9" s="16" t="s">
        <v>335</v>
      </c>
      <c r="C9" s="16"/>
      <c r="D9" s="29"/>
      <c r="E9" s="29"/>
      <c r="F9" s="15"/>
      <c r="G9" s="16"/>
    </row>
    <row r="10" spans="1:7" ht="24" customHeight="1" x14ac:dyDescent="0.55000000000000004">
      <c r="A10" s="3" t="s">
        <v>336</v>
      </c>
      <c r="B10" s="4" t="s">
        <v>337</v>
      </c>
      <c r="C10" s="4" t="s">
        <v>338</v>
      </c>
      <c r="D10" s="30">
        <f>'2. Bang Can Doi Ke Toan'!D9/'2. Bang Can Doi Ke Toan'!D33</f>
        <v>2.9854504756575264</v>
      </c>
      <c r="E10" s="30">
        <f>'2. Bang Can Doi Ke Toan'!E9/'2. Bang Can Doi Ke Toan'!E33</f>
        <v>2.6098360655737705</v>
      </c>
      <c r="F10" s="3" t="s">
        <v>339</v>
      </c>
      <c r="G10" s="4" t="s">
        <v>340</v>
      </c>
    </row>
    <row r="11" spans="1:7" ht="24" customHeight="1" x14ac:dyDescent="0.55000000000000004">
      <c r="A11" s="7" t="s">
        <v>341</v>
      </c>
      <c r="B11" s="8" t="s">
        <v>342</v>
      </c>
      <c r="C11" s="8" t="s">
        <v>343</v>
      </c>
      <c r="D11" s="11">
        <f>('2. Bang Can Doi Ke Toan'!D10+'2. Bang Can Doi Ke Toan'!D13+'2. Bang Can Doi Ke Toan'!D14)/'2. Bang Can Doi Ke Toan'!D33</f>
        <v>2.6972579742585339</v>
      </c>
      <c r="E11" s="11">
        <f>('2. Bang Can Doi Ke Toan'!E10+'2. Bang Can Doi Ke Toan'!E13+'2. Bang Can Doi Ke Toan'!E14)/'2. Bang Can Doi Ke Toan'!E33</f>
        <v>2.3475409836065575</v>
      </c>
      <c r="F11" s="7" t="s">
        <v>344</v>
      </c>
      <c r="G11" s="8" t="s">
        <v>345</v>
      </c>
    </row>
    <row r="12" spans="1:7" ht="24" customHeight="1" x14ac:dyDescent="0.55000000000000004">
      <c r="A12" s="7" t="s">
        <v>346</v>
      </c>
      <c r="B12" s="8" t="s">
        <v>347</v>
      </c>
      <c r="C12" s="8" t="s">
        <v>348</v>
      </c>
      <c r="D12" s="11">
        <f>'2. Bang Can Doi Ke Toan'!D10/'2. Bang Can Doi Ke Toan'!D33</f>
        <v>1.3710128707330722</v>
      </c>
      <c r="E12" s="11">
        <f>'2. Bang Can Doi Ke Toan'!E10/'2. Bang Can Doi Ke Toan'!E33</f>
        <v>1.2852459016393443</v>
      </c>
      <c r="F12" s="7" t="s">
        <v>349</v>
      </c>
      <c r="G12" s="8" t="s">
        <v>350</v>
      </c>
    </row>
    <row r="13" spans="1:7" ht="26.05" customHeight="1" x14ac:dyDescent="0.55000000000000004">
      <c r="A13" s="15" t="s">
        <v>258</v>
      </c>
      <c r="B13" s="16" t="s">
        <v>351</v>
      </c>
      <c r="C13" s="16"/>
      <c r="D13" s="29"/>
      <c r="E13" s="29"/>
      <c r="F13" s="15"/>
      <c r="G13" s="16"/>
    </row>
    <row r="14" spans="1:7" ht="24" customHeight="1" x14ac:dyDescent="0.55000000000000004">
      <c r="A14" s="3" t="s">
        <v>352</v>
      </c>
      <c r="B14" s="4" t="s">
        <v>353</v>
      </c>
      <c r="C14" s="4" t="s">
        <v>354</v>
      </c>
      <c r="D14" s="6">
        <f>'2. Bang Can Doi Ke Toan'!D32/'2. Bang Can Doi Ke Toan'!D31</f>
        <v>0.20393305439330545</v>
      </c>
      <c r="E14" s="6">
        <f>'2. Bang Can Doi Ke Toan'!E32/'2. Bang Can Doi Ke Toan'!E31</f>
        <v>0.21826171875</v>
      </c>
      <c r="F14" s="3" t="s">
        <v>355</v>
      </c>
      <c r="G14" s="4" t="s">
        <v>356</v>
      </c>
    </row>
    <row r="15" spans="1:7" ht="24" customHeight="1" x14ac:dyDescent="0.55000000000000004">
      <c r="A15" s="7" t="s">
        <v>357</v>
      </c>
      <c r="B15" s="8" t="s">
        <v>358</v>
      </c>
      <c r="C15" s="8" t="s">
        <v>359</v>
      </c>
      <c r="D15" s="10">
        <f>'2. Bang Can Doi Ke Toan'!D32/'2. Bang Can Doi Ke Toan'!D40</f>
        <v>0.25617575948701776</v>
      </c>
      <c r="E15" s="10">
        <f>'2. Bang Can Doi Ke Toan'!E32/'2. Bang Can Doi Ke Toan'!E40</f>
        <v>0.27920049968769517</v>
      </c>
      <c r="F15" s="7" t="s">
        <v>360</v>
      </c>
      <c r="G15" s="8" t="s">
        <v>361</v>
      </c>
    </row>
    <row r="16" spans="1:7" ht="24" customHeight="1" x14ac:dyDescent="0.55000000000000004">
      <c r="A16" s="7" t="s">
        <v>362</v>
      </c>
      <c r="B16" s="8" t="s">
        <v>363</v>
      </c>
      <c r="C16" s="8" t="s">
        <v>364</v>
      </c>
      <c r="D16" s="31">
        <f>('3. KQKD'!D23+'3. KQKD'!D16)/'3. KQKD'!D16</f>
        <v>20.842105263157894</v>
      </c>
      <c r="E16" s="31">
        <f>('3. KQKD'!E23+'3. KQKD'!E16)/'3. KQKD'!E16</f>
        <v>22.111111111111111</v>
      </c>
      <c r="F16" s="7" t="s">
        <v>365</v>
      </c>
      <c r="G16" s="8" t="s">
        <v>366</v>
      </c>
    </row>
    <row r="17" spans="1:7" ht="26.05" customHeight="1" x14ac:dyDescent="0.55000000000000004">
      <c r="A17" s="15" t="s">
        <v>265</v>
      </c>
      <c r="B17" s="16" t="s">
        <v>367</v>
      </c>
      <c r="C17" s="16"/>
      <c r="D17" s="29"/>
      <c r="E17" s="29"/>
      <c r="F17" s="15"/>
      <c r="G17" s="16"/>
    </row>
    <row r="18" spans="1:7" ht="24" customHeight="1" x14ac:dyDescent="0.55000000000000004">
      <c r="A18" s="7" t="s">
        <v>368</v>
      </c>
      <c r="B18" s="8" t="s">
        <v>369</v>
      </c>
      <c r="C18" s="8" t="s">
        <v>370</v>
      </c>
      <c r="D18" s="11">
        <f>'3. KQKD'!D11/(('2. Bang Can Doi Ke Toan'!D14+'2. Bang Can Doi Ke Toan'!E14)/2)</f>
        <v>10.076305220883533</v>
      </c>
      <c r="E18" s="11">
        <f>'3. KQKD'!E11/'2. Bang Can Doi Ke Toan'!E14</f>
        <v>9.8080357142857135</v>
      </c>
      <c r="F18" s="7" t="s">
        <v>371</v>
      </c>
      <c r="G18" s="8" t="s">
        <v>372</v>
      </c>
    </row>
    <row r="19" spans="1:7" ht="24" customHeight="1" x14ac:dyDescent="0.55000000000000004">
      <c r="A19" s="7" t="s">
        <v>373</v>
      </c>
      <c r="B19" s="8" t="s">
        <v>374</v>
      </c>
      <c r="C19" s="8" t="s">
        <v>375</v>
      </c>
      <c r="D19" s="32">
        <f>365/D18</f>
        <v>36.223595057791954</v>
      </c>
      <c r="E19" s="32">
        <f>365/E18</f>
        <v>37.214383249886211</v>
      </c>
      <c r="F19" s="7" t="s">
        <v>376</v>
      </c>
      <c r="G19" s="8" t="s">
        <v>377</v>
      </c>
    </row>
    <row r="20" spans="1:7" ht="24" customHeight="1" x14ac:dyDescent="0.55000000000000004">
      <c r="A20" s="7" t="s">
        <v>378</v>
      </c>
      <c r="B20" s="8" t="s">
        <v>379</v>
      </c>
      <c r="C20" s="8" t="s">
        <v>380</v>
      </c>
      <c r="D20" s="11">
        <f>'3. KQKD'!D11/(('2. Bang Can Doi Ke Toan'!D31+'2. Bang Can Doi Ke Toan'!E31)/2)</f>
        <v>1.1306894997746733</v>
      </c>
      <c r="E20" s="11">
        <f>'3. KQKD'!E11/'2. Bang Can Doi Ke Toan'!E31</f>
        <v>1.07275390625</v>
      </c>
      <c r="F20" s="7" t="s">
        <v>381</v>
      </c>
      <c r="G20" s="8" t="s">
        <v>382</v>
      </c>
    </row>
    <row r="21" spans="1:7" ht="26.05" customHeight="1" x14ac:dyDescent="0.55000000000000004">
      <c r="A21" s="15" t="s">
        <v>383</v>
      </c>
      <c r="B21" s="16" t="s">
        <v>384</v>
      </c>
      <c r="C21" s="16"/>
      <c r="D21" s="29"/>
      <c r="E21" s="29"/>
      <c r="F21" s="15"/>
      <c r="G21" s="16"/>
    </row>
    <row r="22" spans="1:7" ht="24" customHeight="1" x14ac:dyDescent="0.55000000000000004">
      <c r="A22" s="3" t="s">
        <v>191</v>
      </c>
      <c r="B22" s="4" t="s">
        <v>385</v>
      </c>
      <c r="C22" s="4" t="s">
        <v>386</v>
      </c>
      <c r="D22" s="6">
        <f>'3. KQKD'!D13/'3. KQKD'!D11</f>
        <v>0.45</v>
      </c>
      <c r="E22" s="6">
        <f>'3. KQKD'!E13/'3. KQKD'!E11</f>
        <v>0.44</v>
      </c>
      <c r="F22" s="3" t="s">
        <v>387</v>
      </c>
      <c r="G22" s="4" t="s">
        <v>388</v>
      </c>
    </row>
    <row r="23" spans="1:7" ht="24" customHeight="1" x14ac:dyDescent="0.55000000000000004">
      <c r="A23" s="3" t="s">
        <v>194</v>
      </c>
      <c r="B23" s="4" t="s">
        <v>389</v>
      </c>
      <c r="C23" s="4" t="s">
        <v>390</v>
      </c>
      <c r="D23" s="6">
        <f>'3. KQKD'!D26/'3. KQKD'!D11</f>
        <v>0.12020725388601036</v>
      </c>
      <c r="E23" s="6">
        <f>'3. KQKD'!E26/'3. KQKD'!E11</f>
        <v>0.11069640418752845</v>
      </c>
      <c r="F23" s="3" t="s">
        <v>391</v>
      </c>
      <c r="G23" s="4" t="s">
        <v>392</v>
      </c>
    </row>
    <row r="24" spans="1:7" ht="24" customHeight="1" x14ac:dyDescent="0.55000000000000004">
      <c r="A24" s="7" t="s">
        <v>393</v>
      </c>
      <c r="B24" s="8" t="s">
        <v>394</v>
      </c>
      <c r="C24" s="8" t="s">
        <v>395</v>
      </c>
      <c r="D24" s="10">
        <f>'3. KQKD'!D26/(('2. Bang Can Doi Ke Toan'!D31+'2. Bang Can Doi Ke Toan'!E31)/2)</f>
        <v>0.1359170797656602</v>
      </c>
      <c r="E24" s="10">
        <f>'3. KQKD'!E26/'2. Bang Can Doi Ke Toan'!E31</f>
        <v>0.11874999999999999</v>
      </c>
      <c r="F24" s="7" t="s">
        <v>396</v>
      </c>
      <c r="G24" s="8" t="s">
        <v>397</v>
      </c>
    </row>
    <row r="25" spans="1:7" ht="24" customHeight="1" x14ac:dyDescent="0.55000000000000004">
      <c r="A25" s="3" t="s">
        <v>398</v>
      </c>
      <c r="B25" s="4" t="s">
        <v>399</v>
      </c>
      <c r="C25" s="4" t="s">
        <v>400</v>
      </c>
      <c r="D25" s="6">
        <f>'3. KQKD'!D26/(('2. Bang Can Doi Ke Toan'!D40+'2. Bang Can Doi Ke Toan'!E40)/2)</f>
        <v>0.1721657723484416</v>
      </c>
      <c r="E25" s="6">
        <f>'3. KQKD'!E26/'2. Bang Can Doi Ke Toan'!E40</f>
        <v>0.15190505933791382</v>
      </c>
      <c r="F25" s="3" t="s">
        <v>401</v>
      </c>
      <c r="G25" s="4" t="s">
        <v>402</v>
      </c>
    </row>
    <row r="27" spans="1:7" ht="26.05" customHeight="1" x14ac:dyDescent="0.55000000000000004">
      <c r="A27" s="42" t="s">
        <v>403</v>
      </c>
      <c r="B27" s="34"/>
      <c r="C27" s="34"/>
      <c r="D27" s="34"/>
      <c r="E27" s="34"/>
      <c r="F27" s="34"/>
      <c r="G27" s="34"/>
    </row>
    <row r="28" spans="1:7" ht="22" customHeight="1" x14ac:dyDescent="0.55000000000000004">
      <c r="A28" s="35" t="s">
        <v>404</v>
      </c>
      <c r="B28" s="34"/>
      <c r="C28" s="34"/>
      <c r="D28" s="34"/>
      <c r="E28" s="34"/>
      <c r="F28" s="34"/>
      <c r="G28" s="34"/>
    </row>
    <row r="29" spans="1:7" ht="22" customHeight="1" x14ac:dyDescent="0.55000000000000004">
      <c r="A29" s="35" t="s">
        <v>405</v>
      </c>
      <c r="B29" s="34"/>
      <c r="C29" s="34"/>
      <c r="D29" s="34"/>
      <c r="E29" s="34"/>
      <c r="F29" s="34"/>
      <c r="G29" s="34"/>
    </row>
    <row r="30" spans="1:7" ht="22" customHeight="1" x14ac:dyDescent="0.55000000000000004">
      <c r="A30" s="33" t="s">
        <v>406</v>
      </c>
      <c r="B30" s="34"/>
      <c r="C30" s="34"/>
      <c r="D30" s="34"/>
      <c r="E30" s="34"/>
      <c r="F30" s="34"/>
      <c r="G30" s="34"/>
    </row>
  </sheetData>
  <mergeCells count="9">
    <mergeCell ref="A1:C1"/>
    <mergeCell ref="A27:G27"/>
    <mergeCell ref="A30:G30"/>
    <mergeCell ref="A5:E5"/>
    <mergeCell ref="A3:C3"/>
    <mergeCell ref="A29:G29"/>
    <mergeCell ref="A6:E6"/>
    <mergeCell ref="A2:C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Thong tin chung</vt:lpstr>
      <vt:lpstr>2. Bang Can Doi Ke Toan</vt:lpstr>
      <vt:lpstr>3. KQKD</vt:lpstr>
      <vt:lpstr>4. Luu Chuyen Tien Te</vt:lpstr>
      <vt:lpstr>5. Thuyet Minh BCTC</vt:lpstr>
      <vt:lpstr>6. Phan Tich Tai Chinh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Anh</cp:lastModifiedBy>
  <dcterms:created xsi:type="dcterms:W3CDTF">2026-09-09T13:56:48Z</dcterms:created>
  <dcterms:modified xsi:type="dcterms:W3CDTF">2026-09-09T13:58:27Z</dcterms:modified>
</cp:coreProperties>
</file>