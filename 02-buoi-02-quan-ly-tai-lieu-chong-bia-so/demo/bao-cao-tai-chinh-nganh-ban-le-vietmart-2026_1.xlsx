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GitHub\khoa-ai-workspace-6-agent\02-buoi-02-quan-ly-tai-lieu-chong-bia-so\demo\"/>
    </mc:Choice>
  </mc:AlternateContent>
  <xr:revisionPtr revIDLastSave="0" documentId="8_{4F21D4A4-713B-4D7E-8807-74F9B4A8382B}" xr6:coauthVersionLast="47" xr6:coauthVersionMax="47" xr10:uidLastSave="{00000000-0000-0000-0000-000000000000}"/>
  <bookViews>
    <workbookView xWindow="-96" yWindow="-96" windowWidth="23232" windowHeight="12432" firstSheet="1" activeTab="5" xr2:uid="{00000000-000D-0000-FFFF-FFFF00000000}"/>
  </bookViews>
  <sheets>
    <sheet name="1. Thong tin chung" sheetId="1" r:id="rId1"/>
    <sheet name="2. Bang Can Doi Ke Toan" sheetId="2" r:id="rId2"/>
    <sheet name="3. KQKD" sheetId="3" r:id="rId3"/>
    <sheet name="4. Luu Chuyen Tien Te" sheetId="4" r:id="rId4"/>
    <sheet name="5. Thuyet Minh BCTC" sheetId="5" r:id="rId5"/>
    <sheet name="6. Phan Tich Tai Chinh" sheetId="6" r:id="rId6"/>
  </sheets>
  <calcPr calcId="191029"/>
  <fileRecoveryPr repairLoad="1"/>
</workbook>
</file>

<file path=xl/calcChain.xml><?xml version="1.0" encoding="utf-8"?>
<calcChain xmlns="http://schemas.openxmlformats.org/spreadsheetml/2006/main">
  <c r="E19" i="6" l="1"/>
  <c r="D19" i="6"/>
  <c r="E18" i="6"/>
  <c r="D18" i="6"/>
  <c r="E31" i="5"/>
  <c r="F31" i="5" s="1"/>
  <c r="C31" i="5"/>
  <c r="D30" i="5" s="1"/>
  <c r="F30" i="5"/>
  <c r="F29" i="5"/>
  <c r="F28" i="5"/>
  <c r="C24" i="5"/>
  <c r="E15" i="5"/>
  <c r="C15" i="5"/>
  <c r="D14" i="5" s="1"/>
  <c r="E31" i="4"/>
  <c r="D31" i="4"/>
  <c r="E26" i="4"/>
  <c r="D26" i="4"/>
  <c r="E22" i="3"/>
  <c r="D22" i="3"/>
  <c r="E11" i="3"/>
  <c r="D11" i="3"/>
  <c r="D13" i="3" s="1"/>
  <c r="E43" i="2"/>
  <c r="E40" i="2" s="1"/>
  <c r="E39" i="2" s="1"/>
  <c r="D43" i="2"/>
  <c r="D40" i="2"/>
  <c r="D39" i="2"/>
  <c r="E32" i="2"/>
  <c r="E31" i="2" s="1"/>
  <c r="D32" i="2"/>
  <c r="D12" i="6" s="1"/>
  <c r="E25" i="2"/>
  <c r="D25" i="2"/>
  <c r="E22" i="2"/>
  <c r="D22" i="2"/>
  <c r="D21" i="2" s="1"/>
  <c r="D20" i="2" s="1"/>
  <c r="E21" i="2"/>
  <c r="E20" i="2" s="1"/>
  <c r="E14" i="2"/>
  <c r="E20" i="6" s="1"/>
  <c r="D14" i="2"/>
  <c r="D9" i="2" s="1"/>
  <c r="E10" i="2"/>
  <c r="E9" i="2" s="1"/>
  <c r="D10" i="2"/>
  <c r="F31" i="1"/>
  <c r="G31" i="1" s="1"/>
  <c r="G30" i="1"/>
  <c r="F30" i="1"/>
  <c r="F29" i="1"/>
  <c r="G29" i="1" s="1"/>
  <c r="G28" i="1"/>
  <c r="F28" i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G20" i="1"/>
  <c r="F20" i="1"/>
  <c r="D19" i="3" l="1"/>
  <c r="D23" i="3" s="1"/>
  <c r="D23" i="6"/>
  <c r="E46" i="2"/>
  <c r="E15" i="6"/>
  <c r="E30" i="2"/>
  <c r="E48" i="2" s="1"/>
  <c r="E10" i="6"/>
  <c r="D30" i="2"/>
  <c r="D10" i="6"/>
  <c r="D31" i="2"/>
  <c r="E12" i="6"/>
  <c r="D11" i="6"/>
  <c r="D11" i="5"/>
  <c r="D12" i="5"/>
  <c r="D13" i="5"/>
  <c r="D20" i="6"/>
  <c r="E11" i="6"/>
  <c r="E13" i="3"/>
  <c r="D28" i="5"/>
  <c r="D29" i="5"/>
  <c r="D21" i="6"/>
  <c r="E19" i="3" l="1"/>
  <c r="E23" i="3" s="1"/>
  <c r="E23" i="6"/>
  <c r="D15" i="6"/>
  <c r="D46" i="2"/>
  <c r="D14" i="6"/>
  <c r="E21" i="6"/>
  <c r="E14" i="6"/>
  <c r="D31" i="5"/>
  <c r="D15" i="5"/>
  <c r="D48" i="2"/>
  <c r="D16" i="6"/>
  <c r="D10" i="4"/>
  <c r="D15" i="4" s="1"/>
  <c r="D21" i="4" s="1"/>
  <c r="D32" i="4" s="1"/>
  <c r="D35" i="4" s="1"/>
  <c r="D26" i="3"/>
  <c r="D26" i="6" l="1"/>
  <c r="D25" i="6"/>
  <c r="D24" i="6"/>
  <c r="D27" i="3"/>
  <c r="E26" i="3"/>
  <c r="E16" i="6"/>
  <c r="E10" i="4"/>
  <c r="E15" i="4" s="1"/>
  <c r="E21" i="4" s="1"/>
  <c r="E32" i="4" s="1"/>
  <c r="E35" i="4" s="1"/>
  <c r="E26" i="6" l="1"/>
  <c r="E25" i="6"/>
  <c r="E24" i="6"/>
  <c r="E27" i="3"/>
</calcChain>
</file>

<file path=xl/sharedStrings.xml><?xml version="1.0" encoding="utf-8"?>
<sst xmlns="http://schemas.openxmlformats.org/spreadsheetml/2006/main" count="495" uniqueCount="395">
  <si>
    <t>BÁO CÁO TÀI CHÍNH NĂM 2026 (CHUỖI BÁN LẺ VIETMART)</t>
  </si>
  <si>
    <t>CÔNG TY CỔ PHẦN BÁCH HÓA VIỆT (VIETMART DISTRIBUTION JSC)</t>
  </si>
  <si>
    <t>Hệ thống 28 Siêu thị tiện ích &amp; Trung tâm Phân phối FMCG Miền Nam - Áp dụng Thông tư 200/2014/TT-BTC</t>
  </si>
  <si>
    <t>I. THÔNG TIN PHÁP LÝ &amp; HỆ THỐNG PHÂN PHỐI</t>
  </si>
  <si>
    <t>•</t>
  </si>
  <si>
    <t>Tên đầy đủ</t>
  </si>
  <si>
    <t>CÔNG TY CỔ PHẦN BÁCH HÓA VIỆT</t>
  </si>
  <si>
    <t>Tên giao dịch quốc tế</t>
  </si>
  <si>
    <t>VIETMART DISTRIBUTION JOINT STOCK COMPANY</t>
  </si>
  <si>
    <t>Mã số thuế / Giấy phép ĐKKD</t>
  </si>
  <si>
    <t>0312345678 (Đăng ký thay đổi lần thứ 6 ngày 12/04/2025)</t>
  </si>
  <si>
    <t>Vốn điều lệ thực góp</t>
  </si>
  <si>
    <t>10.000.000.000 VNĐ (Mười tỷ đồng - 1.000.000 cổ phần)</t>
  </si>
  <si>
    <t>Trụ sở điều hành chính</t>
  </si>
  <si>
    <t>Số 128 Đường Nguyễn Thị Minh Khai, Phường 6, Quận 3, TP. Hồ Chí Minh</t>
  </si>
  <si>
    <t>Quy mô hạ tầng kinh doanh</t>
  </si>
  <si>
    <t>Chuỗi 28 siêu thị VietMart Mart, 02 Tổng kho logistics tại Bình Dương &amp; Long An</t>
  </si>
  <si>
    <t>Ngành nghề kinh doanh chính</t>
  </si>
  <si>
    <t>Bán buôn, bán lẻ lương thực, thực phẩm, đồ uống, hóa mỹ phẩm và thiết bị gia dụng</t>
  </si>
  <si>
    <t>Người đại diện pháp luật</t>
  </si>
  <si>
    <t>Bà NGUYỄN HOÀNG MAI - Tổng Giám đốc</t>
  </si>
  <si>
    <t>Kế toán trưởng</t>
  </si>
  <si>
    <t>Ông PHẠM MINH ĐỨC</t>
  </si>
  <si>
    <t>Tổ chức kiểm toán độc lập</t>
  </si>
  <si>
    <t>Công ty TNHH Kiểm toán &amp; Thẩm định giá PwC Việt Nam</t>
  </si>
  <si>
    <t>Đặc thù mô hình kinh doanh</t>
  </si>
  <si>
    <t>Bán lẻ thu tiền ngay, vòng quay tồn kho nhanh, đòn bẩy chiếm dụng vốn nhà cung cấp cao</t>
  </si>
  <si>
    <t>II. TỔNG HỢP CÁC CHỈ SỐ TÀI CHÍNH CỐT LÕI (NGÀNH BÁN LẺ &amp; CHUỖI PHÂN PHỐI)</t>
  </si>
  <si>
    <t>STT</t>
  </si>
  <si>
    <t>Chỉ tiêu tài chính</t>
  </si>
  <si>
    <t>ĐVT</t>
  </si>
  <si>
    <t>Năm 2026</t>
  </si>
  <si>
    <t>Năm 2025</t>
  </si>
  <si>
    <t>Chênh lệch (+/-)</t>
  </si>
  <si>
    <t>Tăng trưởng</t>
  </si>
  <si>
    <t>Doanh thu thuần bán hàng &amp; CCDV</t>
  </si>
  <si>
    <t>VNĐ</t>
  </si>
  <si>
    <t>Lợi nhuận gộp</t>
  </si>
  <si>
    <t>Lợi nhuận kế toán trước thuế (LNTT)</t>
  </si>
  <si>
    <t>Lợi nhuận sau thuế TNDN (LNST)</t>
  </si>
  <si>
    <t>Tổng tài sản</t>
  </si>
  <si>
    <t>Vốn chủ sở hữu</t>
  </si>
  <si>
    <t>Hàng tồn kho cuối kỳ</t>
  </si>
  <si>
    <t>Biên lợi nhuận gộp (Gross Margin)</t>
  </si>
  <si>
    <t>%</t>
  </si>
  <si>
    <t>Tỷ suất LNST / Doanh thu thuần (ROS)</t>
  </si>
  <si>
    <t>Tỷ suất Sinh lời trên Vốn CSH (ROE)</t>
  </si>
  <si>
    <t>Vòng quay hàng tồn kho (Vòng/năm)</t>
  </si>
  <si>
    <t>Vòng</t>
  </si>
  <si>
    <t>Hệ số Nợ phải trả / Tổng tài sản</t>
  </si>
  <si>
    <t>Mẫu số B 01 - DN</t>
  </si>
  <si>
    <t>Địa chỉ: Số 128 Đường Nguyễn Thị Minh Khai, Quận 3, TP. Hồ Chí Minh</t>
  </si>
  <si>
    <t>(Ban hành theo Thông tư số 200/2014/TT-BTC</t>
  </si>
  <si>
    <t>Mã số thuế: 0312345678 | ĐT: (028) 3930 8888</t>
  </si>
  <si>
    <t>Ngày 22/12/2014 của Bộ Tài chính)</t>
  </si>
  <si>
    <t>BẢNG CÂN ĐỐI KẾ TOÁN</t>
  </si>
  <si>
    <t>Tại ngày 31 tháng 12 năm 2026</t>
  </si>
  <si>
    <t>Đơn vị tính: Việt Nam đồng (VNĐ)</t>
  </si>
  <si>
    <t>Mã số</t>
  </si>
  <si>
    <t>CHỈ TIÊU</t>
  </si>
  <si>
    <t>Thuyết minh</t>
  </si>
  <si>
    <t>Số cuối năm (31/12/2026)</t>
  </si>
  <si>
    <t>Số đầu năm (01/01/2026)</t>
  </si>
  <si>
    <t>100</t>
  </si>
  <si>
    <t>A. TÀI SẢN NGẮN HẠN</t>
  </si>
  <si>
    <t>110</t>
  </si>
  <si>
    <t>I. Tiền và các khoản tương đương tiền</t>
  </si>
  <si>
    <t>V.01</t>
  </si>
  <si>
    <t>111</t>
  </si>
  <si>
    <t>1. Tiền mặt tại chuỗi siêu thị và két quỹ</t>
  </si>
  <si>
    <t>112</t>
  </si>
  <si>
    <t>2. Tiền gửi ngân hàng không kỳ hạn</t>
  </si>
  <si>
    <t>120</t>
  </si>
  <si>
    <t>II. Đầu tư tài chính ngắn hạn (Tiền gửi 3 tháng)</t>
  </si>
  <si>
    <t>V.02</t>
  </si>
  <si>
    <t>130</t>
  </si>
  <si>
    <t>III. Các khoản phải thu ngắn hạn</t>
  </si>
  <si>
    <t>V.03</t>
  </si>
  <si>
    <t>131</t>
  </si>
  <si>
    <t>1. Phải thu ngắn hạn của khách hàng (Đại lý, B2B)</t>
  </si>
  <si>
    <t>V.03a</t>
  </si>
  <si>
    <t>132</t>
  </si>
  <si>
    <t>2. Trả trước cho người bán ngắn hạn</t>
  </si>
  <si>
    <t>137</t>
  </si>
  <si>
    <t>3. Dự phòng phải thu ngắn hạn khó đòi (*)</t>
  </si>
  <si>
    <t>V.03b</t>
  </si>
  <si>
    <t>140</t>
  </si>
  <si>
    <t>IV. Hàng tồn kho (Hàng hóa tại 28 siêu thị &amp; tổng kho)</t>
  </si>
  <si>
    <t>V.04</t>
  </si>
  <si>
    <t>150</t>
  </si>
  <si>
    <t>V. Tài sản ngắn hạn khác (Thuế GTGT khấu trừ)</t>
  </si>
  <si>
    <t>V.05</t>
  </si>
  <si>
    <t>200</t>
  </si>
  <si>
    <t>B. TÀI SẢN DÀI HẠN</t>
  </si>
  <si>
    <t>220</t>
  </si>
  <si>
    <t>I. Tài sản cố định</t>
  </si>
  <si>
    <t>V.06</t>
  </si>
  <si>
    <t>221</t>
  </si>
  <si>
    <t>1. Tài sản cố định hữu hình (Quầy kệ, xe tải, kho lạnh)</t>
  </si>
  <si>
    <t>222</t>
  </si>
  <si>
    <t xml:space="preserve">   - Nguyên giá</t>
  </si>
  <si>
    <t>223</t>
  </si>
  <si>
    <t xml:space="preserve">   - Giá trị hao mòn lũy kế (*)</t>
  </si>
  <si>
    <t>227</t>
  </si>
  <si>
    <t>2. Tài sản cố định vô hình (Phần mềm ERP bán lẻ &amp; Brand)</t>
  </si>
  <si>
    <t>228</t>
  </si>
  <si>
    <t>229</t>
  </si>
  <si>
    <t>240</t>
  </si>
  <si>
    <t>II. Tài sản dở dang dài hạn (Nâng cấp kho lạnh)</t>
  </si>
  <si>
    <t>V.07</t>
  </si>
  <si>
    <t>260</t>
  </si>
  <si>
    <t>III. Tài sản dài hạn khác (Đặt cọc thuê 28 mặt bằng)</t>
  </si>
  <si>
    <t>V.08</t>
  </si>
  <si>
    <t>270</t>
  </si>
  <si>
    <t>TỔNG CỘNG TÀI SẢN (270 = 100 + 200)</t>
  </si>
  <si>
    <t>300</t>
  </si>
  <si>
    <t>C. NỢ PHẢI TRẢ</t>
  </si>
  <si>
    <t>310</t>
  </si>
  <si>
    <t>I. Nợ ngắn hạn</t>
  </si>
  <si>
    <t>V.09</t>
  </si>
  <si>
    <t>311</t>
  </si>
  <si>
    <t>1. Phải trả người bán ngắn hạn (Nhà cung cấp FMCG)</t>
  </si>
  <si>
    <t>312</t>
  </si>
  <si>
    <t>2. Người mua trả tiền trước ngắn hạn (Voucher, thẻ quà)</t>
  </si>
  <si>
    <t>313</t>
  </si>
  <si>
    <t>3. Thuế và các khoản phải nộp Nhà nước</t>
  </si>
  <si>
    <t>V.10</t>
  </si>
  <si>
    <t>314</t>
  </si>
  <si>
    <t>4. Phải trả người lao động (Lương 320 nhân viên chuỗi)</t>
  </si>
  <si>
    <t>320</t>
  </si>
  <si>
    <t>5. Vay và nợ thuê tài chính ngắn hạn (Tài trợ hàng Tết)</t>
  </si>
  <si>
    <t>V.11</t>
  </si>
  <si>
    <t>330</t>
  </si>
  <si>
    <t>II. Nợ dài hạn (Vay ngân hàng đầu tư xe tải &amp; kho lạnh)</t>
  </si>
  <si>
    <t>V.12</t>
  </si>
  <si>
    <t>400</t>
  </si>
  <si>
    <t>D. VỐN CHỦ SỞ HỮU</t>
  </si>
  <si>
    <t>410</t>
  </si>
  <si>
    <t>I. Vốn chủ sở hữu</t>
  </si>
  <si>
    <t>V.13</t>
  </si>
  <si>
    <t>411</t>
  </si>
  <si>
    <t>1. Vốn góp của chủ sở hữu</t>
  </si>
  <si>
    <t>418</t>
  </si>
  <si>
    <t>2. Quỹ đầu tư phát triển</t>
  </si>
  <si>
    <t>421</t>
  </si>
  <si>
    <t>3. Lợi nhuận sau thuế chưa phân phối</t>
  </si>
  <si>
    <t>421a</t>
  </si>
  <si>
    <t xml:space="preserve">   - LNST chưa phân phối lũy kế kỳ trước</t>
  </si>
  <si>
    <t>421b</t>
  </si>
  <si>
    <t xml:space="preserve">   - LNST chưa phân phối kỳ này</t>
  </si>
  <si>
    <t>440</t>
  </si>
  <si>
    <t>TỔNG CỘNG NGUỒN VỐN (440 = 300 + 400)</t>
  </si>
  <si>
    <t>KIỂM TRA CÂN ĐỐI (TỔNG TÀI SẢN - TỔNG NGUỒN VỐN):</t>
  </si>
  <si>
    <t>Người lập biểu
(Ký, họ tên)</t>
  </si>
  <si>
    <t>Kế toán trưởng
(Ký, họ tên)</t>
  </si>
  <si>
    <t>TP.HCM, ngày 20 tháng 01 năm 2027
Tổng Giám đốc
(Ký, đóng dấu)</t>
  </si>
  <si>
    <t>Lê Thị Cẩm Tú</t>
  </si>
  <si>
    <t>Phạm Minh Đức</t>
  </si>
  <si>
    <t>Nguyễn Hoàng Mai</t>
  </si>
  <si>
    <t>Mẫu số B 02 - DN</t>
  </si>
  <si>
    <t>BÁO CÁO KẾT QUẢ HOẠT ĐỘNG KINH DOANH</t>
  </si>
  <si>
    <t>Năm 2026 (Kỳ này)</t>
  </si>
  <si>
    <t>Năm 2025 (Kỳ trước)</t>
  </si>
  <si>
    <t>01</t>
  </si>
  <si>
    <t>1. Doanh thu bán hàng và cung cấp dịch vụ</t>
  </si>
  <si>
    <t>VI.01</t>
  </si>
  <si>
    <t>02</t>
  </si>
  <si>
    <t>2. Các khoản giảm trừ doanh thu (Hàng trả lại, giảm giá)</t>
  </si>
  <si>
    <t>VI.02</t>
  </si>
  <si>
    <t>10</t>
  </si>
  <si>
    <t>3. Doanh thu thuần về bán hàng và CCDV (10 = 01 - 02)</t>
  </si>
  <si>
    <t>VI.03</t>
  </si>
  <si>
    <t>11</t>
  </si>
  <si>
    <t>4. Giá vốn hàng bán (FMCG và đồ uống)</t>
  </si>
  <si>
    <t>VI.04</t>
  </si>
  <si>
    <t>20</t>
  </si>
  <si>
    <t>5. Lợi nhuận gộp về bán hàng và CCDV (20 = 10 - 11)</t>
  </si>
  <si>
    <t>21</t>
  </si>
  <si>
    <t>6. Doanh thu hoạt động tài chính (Chiết khấu TT)</t>
  </si>
  <si>
    <t>VI.05</t>
  </si>
  <si>
    <t>22</t>
  </si>
  <si>
    <t>7. Chi phí tài chính (Lãi vay ngắn hạn tài trợ tồn kho)</t>
  </si>
  <si>
    <t>VI.06</t>
  </si>
  <si>
    <t>23</t>
  </si>
  <si>
    <t xml:space="preserve">   - Trong đó: Chi phí lãi vay</t>
  </si>
  <si>
    <t>25</t>
  </si>
  <si>
    <t>8. Chi phí bán hàng (Thuê 28 mặt bằng, nhân viên POS)</t>
  </si>
  <si>
    <t>VI.07</t>
  </si>
  <si>
    <t>26</t>
  </si>
  <si>
    <t>9. Chi phí quản lý doanh nghiệp (ERP, văn phòng)</t>
  </si>
  <si>
    <t>VI.08</t>
  </si>
  <si>
    <t>30</t>
  </si>
  <si>
    <t>10. Lợi nhuận thuần từ HĐKD (30 = 20 + 21 - 22 - 25 - 26)</t>
  </si>
  <si>
    <t>31</t>
  </si>
  <si>
    <t>11. Thu nhập khác (Thanh lý phế liệu, quầy kệ)</t>
  </si>
  <si>
    <t>VI.09</t>
  </si>
  <si>
    <t>32</t>
  </si>
  <si>
    <t>12. Chi phí khác</t>
  </si>
  <si>
    <t>VI.10</t>
  </si>
  <si>
    <t>40</t>
  </si>
  <si>
    <t>13. Lợi nhuận khác (40 = 31 - 32)</t>
  </si>
  <si>
    <t>50</t>
  </si>
  <si>
    <t>14. TỔNG LỢI NHUẬN KẾ TOÁN TRƯỚC THUẾ (50 = 30 + 40)</t>
  </si>
  <si>
    <t>51</t>
  </si>
  <si>
    <t>15. Chi phí thuế TNDN hiện hành (20%)</t>
  </si>
  <si>
    <t>VI.11</t>
  </si>
  <si>
    <t>52</t>
  </si>
  <si>
    <t>16. Chi phí thuế TNDN hoãn lại</t>
  </si>
  <si>
    <t>60</t>
  </si>
  <si>
    <t>17. LỢI NHUẬN SAU THUẾ TNDN (60 = 50 - 51 - 52)</t>
  </si>
  <si>
    <t>70</t>
  </si>
  <si>
    <t>18. Lãi cơ bản trên cổ phiếu (EPS) (VNĐ/CP)</t>
  </si>
  <si>
    <t>VI.12</t>
  </si>
  <si>
    <t>Mẫu số B 03 - DN</t>
  </si>
  <si>
    <t>BÁO CÁO LƯU CHUYỂN TIỀN TỆ (PHƯƠNG PHÁP GIÁN TIẾP)</t>
  </si>
  <si>
    <t>I</t>
  </si>
  <si>
    <t>LƯU CHUYỂN TIỀN TỪ HOẠT ĐỘNG KINH DOANH</t>
  </si>
  <si>
    <t>1. Lợi nhuận trước thuế</t>
  </si>
  <si>
    <t>2. Điều chỉnh cho các khoản:</t>
  </si>
  <si>
    <t>03</t>
  </si>
  <si>
    <t xml:space="preserve">   - Khấu hao TSCĐ và BĐSĐT</t>
  </si>
  <si>
    <t>04</t>
  </si>
  <si>
    <t xml:space="preserve">   - Các khoản dự phòng</t>
  </si>
  <si>
    <t>06</t>
  </si>
  <si>
    <t xml:space="preserve">   - Chi phí lãi vay</t>
  </si>
  <si>
    <t>08</t>
  </si>
  <si>
    <t>3. Lợi nhuận từ HĐKD trước thay đổi vốn lưu động</t>
  </si>
  <si>
    <t>09</t>
  </si>
  <si>
    <t xml:space="preserve">   - Tăng/giảm các khoản phải thu</t>
  </si>
  <si>
    <t xml:space="preserve">   - Tăng/giảm hàng tồn kho</t>
  </si>
  <si>
    <t xml:space="preserve">   - Tăng/giảm các khoản phải trả (chiếm dụng vốn NCC)</t>
  </si>
  <si>
    <t>14</t>
  </si>
  <si>
    <t xml:space="preserve">   - Tiền lãi vay đã trả</t>
  </si>
  <si>
    <t>15</t>
  </si>
  <si>
    <t xml:space="preserve">   - Thuế thu nhập doanh nghiệp đã nộp</t>
  </si>
  <si>
    <t>Lưu chuyển tiền thuần từ HĐKD (Mã 20)</t>
  </si>
  <si>
    <t>II</t>
  </si>
  <si>
    <t>LƯU CHUYỂN TIỀN TỪ HOẠT ĐỘNG ĐẦU TƯ</t>
  </si>
  <si>
    <t>1. Tiền chi mua sắm, nâng cấp quầy kệ, kho lạnh và xe tải</t>
  </si>
  <si>
    <t>2. Tiền gửi tiết kiệm ngân hàng có kỳ hạn</t>
  </si>
  <si>
    <t>27</t>
  </si>
  <si>
    <t>3. Tiền thu lãi cho vay, chiết khấu thanh toán</t>
  </si>
  <si>
    <t>Lưu chuyển tiền thuần từ HĐĐT (Mã 30)</t>
  </si>
  <si>
    <t>III</t>
  </si>
  <si>
    <t>LƯU CHUYỂN TIỀN TỪ HOẠT ĐỘNG TÀI CHÍNH</t>
  </si>
  <si>
    <t>33</t>
  </si>
  <si>
    <t>1. Tiền thu từ đi vay ngắn hạn ngân hàng</t>
  </si>
  <si>
    <t>34</t>
  </si>
  <si>
    <t>2. Tiền trả nợ gốc vay ngân hàng</t>
  </si>
  <si>
    <t>36</t>
  </si>
  <si>
    <t>3. Cổ tức, lợi nhuận đã trả cho chủ sở hữu</t>
  </si>
  <si>
    <t>Lưu chuyển tiền thuần từ HĐTC (Mã 40)</t>
  </si>
  <si>
    <t>LƯU CHUYỂN TIỀN THUẦN TRONG NĂM (50 = 20 + 30 + 40)</t>
  </si>
  <si>
    <t>Tiền và tương đương tiền đầu năm</t>
  </si>
  <si>
    <t>61</t>
  </si>
  <si>
    <t>Ảnh hưởng của thay đổi tỷ giá hối đoái</t>
  </si>
  <si>
    <t>TIỀN VÀ TƯƠNG ĐƯƠNG TIỀN CUỐI NĂM (70 = 50 + 60 + 61)</t>
  </si>
  <si>
    <t>Mẫu số B 09 - DN</t>
  </si>
  <si>
    <t>BẢN THUYẾT MINH BÁO CÁO TÀI CHÍNH CHỌN LỌC</t>
  </si>
  <si>
    <t>1. HÀNG TỒN KHO THEO NGÀNH HÀNG TẠI 28 SIÊU THỊ &amp; TỔNG KHO (Thuyết minh V.04)</t>
  </si>
  <si>
    <t>Nhóm ngành hàng FMCG</t>
  </si>
  <si>
    <t>Giá trị 31/12/2026</t>
  </si>
  <si>
    <t>Tỷ trọng (%)</t>
  </si>
  <si>
    <t>Giá trị 01/01/2026</t>
  </si>
  <si>
    <t>Vòng quay (ngày)</t>
  </si>
  <si>
    <t>Thực phẩm tươi sống &amp; Chế biến sẵn (Fresh Food)</t>
  </si>
  <si>
    <t>12 ngày</t>
  </si>
  <si>
    <t>Hàng bách hóa tiêu dùng &amp; Đồ uống đóng gói (Grocery)</t>
  </si>
  <si>
    <t>38 ngày</t>
  </si>
  <si>
    <t>Hóa mỹ phẩm &amp; Chăm sóc cá nhân (Personal Care)</t>
  </si>
  <si>
    <t>55 ngày</t>
  </si>
  <si>
    <t>Đồ gia dụng tiện ích &amp; Thiết bị gia đình</t>
  </si>
  <si>
    <t>75 ngày</t>
  </si>
  <si>
    <t>TỔNG CỘNG HÀNG TỒN KHO</t>
  </si>
  <si>
    <t>Bình quân 72 ngày</t>
  </si>
  <si>
    <t>2. PHẢI TRẢ NGƯỜI BÁN NGẮN HẠN &amp; KỲ HẠN CÔNG NỢ (Thuyết minh V.09)</t>
  </si>
  <si>
    <t>Mã NCC</t>
  </si>
  <si>
    <t>Nhà cung cấp thực phẩm / Hàng hóa</t>
  </si>
  <si>
    <t>Số dư nợ 31/12/2026</t>
  </si>
  <si>
    <t>Kỳ hạn công nợ</t>
  </si>
  <si>
    <t>Chiết khấu thương mại</t>
  </si>
  <si>
    <t>Tình trạng thanh toán</t>
  </si>
  <si>
    <t>NCC01</t>
  </si>
  <si>
    <t>Công ty CP Sữa Việt Nam (Vinamilk)</t>
  </si>
  <si>
    <t>45 ngày</t>
  </si>
  <si>
    <t>2,5% nếu trả trong 15 ngày</t>
  </si>
  <si>
    <t>Trong hạn chuẩn</t>
  </si>
  <si>
    <t>NCC02</t>
  </si>
  <si>
    <t>Tập đoàn Masan Consumer (Gia vị &amp; Mì ăn liền)</t>
  </si>
  <si>
    <t>2,0% theo doanh số quý</t>
  </si>
  <si>
    <t>NCC03</t>
  </si>
  <si>
    <t>Công ty TNHH Unilever Việt Nam</t>
  </si>
  <si>
    <t>60 ngày</t>
  </si>
  <si>
    <t>3,0% chiết khấu kệ hàng</t>
  </si>
  <si>
    <t>NCC04</t>
  </si>
  <si>
    <t>Công ty CP Chăn nuôi C.P. Việt Nam (Thịt tươi)</t>
  </si>
  <si>
    <t>30 ngày</t>
  </si>
  <si>
    <t>1,5% chiết khấu sản lượng</t>
  </si>
  <si>
    <t>NCC05</t>
  </si>
  <si>
    <t>Các nhà cung cấp nông sản, hàng gia dụng khác (86 NCC)</t>
  </si>
  <si>
    <t>30 - 45 ngày</t>
  </si>
  <si>
    <t>1,0% - 2,0%</t>
  </si>
  <si>
    <t>TỔNG CỘNG PHẢI TRẢ NGƯỜI BÁN</t>
  </si>
  <si>
    <t>Bình quân 45 ngày</t>
  </si>
  <si>
    <t>3. DOANH THU THUẦN THEO KÊNH BÁN LẺ &amp; ONLINE (Thuyết minh VI.01)</t>
  </si>
  <si>
    <t>Kênh bán hàng &amp; Dịch vụ</t>
  </si>
  <si>
    <t>Doanh thu năm 2026</t>
  </si>
  <si>
    <t>Doanh thu năm 2025</t>
  </si>
  <si>
    <t>Kênh Siêu thị trực tiếp (In-store 28 cửa hàng)</t>
  </si>
  <si>
    <t>Kênh Giao hàng hỏa tốc App VietMart &amp; Zalo Mini App</t>
  </si>
  <si>
    <t>Kênh B2B Cung ứng suất ăn công nghiệp &amp; Trường học</t>
  </si>
  <si>
    <t>TỔNG CỘNG DOANH THU THUẦN</t>
  </si>
  <si>
    <t>Mẫu số QT - 02</t>
  </si>
  <si>
    <t>PHÂN TÍCH CHỈ SỐ TÀI CHÍNH &amp; MÔ HÌNH DUPONT NGÀNH BÁN LẺ</t>
  </si>
  <si>
    <t>Giai đoạn 2025 - 2026</t>
  </si>
  <si>
    <t>Đơn vị tính: Tỷ lệ &amp; Lần</t>
  </si>
  <si>
    <t>Nhóm chỉ tiêu / Chỉ số tài chính</t>
  </si>
  <si>
    <t>Công thức tính</t>
  </si>
  <si>
    <t>Chuẩn ngành Bán lẻ FMCG</t>
  </si>
  <si>
    <t>Đánh giá &amp; Khuyến nghị</t>
  </si>
  <si>
    <t>NHÓM CHỈ SỐ KHẢ NĂNG THANH TOÁN (LIQUIDITY)</t>
  </si>
  <si>
    <t>1</t>
  </si>
  <si>
    <t>Hệ số thanh toán hiện hành (Current Ratio)</t>
  </si>
  <si>
    <t>TS ngắn hạn / Nợ ngắn hạn</t>
  </si>
  <si>
    <t>1.1 - 1.4</t>
  </si>
  <si>
    <t>1.28 lần; đạt chuẩn an toàn ngành bán lẻ</t>
  </si>
  <si>
    <t>2</t>
  </si>
  <si>
    <t>Hệ số thanh toán nhanh (Quick Ratio)</t>
  </si>
  <si>
    <t>(Tiền + ĐT ngắn hạn + Phải thu) / Nợ ngắn hạn</t>
  </si>
  <si>
    <t>0.4 - 0.7</t>
  </si>
  <si>
    <t>0.54 lần; phù hợp do tồn kho chiếm 57% TSNH</t>
  </si>
  <si>
    <t>3</t>
  </si>
  <si>
    <t>Hệ số thanh toán tức thời (Cash Ratio)</t>
  </si>
  <si>
    <t>Tiền và tương đương tiền / Nợ ngắn hạn</t>
  </si>
  <si>
    <t>0.15 - 0.30</t>
  </si>
  <si>
    <t>0.24 lần; dòng tiền mặt từ chuỗi bán lẻ ổn định</t>
  </si>
  <si>
    <t>NHÓM CHỈ SỐ CƠ CẤU VỐN &amp; ĐÒN BẨY (LEVERAGE)</t>
  </si>
  <si>
    <t>4</t>
  </si>
  <si>
    <t>Hệ số Nợ trên Tổng tài sản (Debt/Assets)</t>
  </si>
  <si>
    <t>Tổng nợ phải trả / Tổng tài sản</t>
  </si>
  <si>
    <t>55% - 70%</t>
  </si>
  <si>
    <t>61.5%; bình thường do chiếm dụng vốn nhà cung cấp</t>
  </si>
  <si>
    <t>5</t>
  </si>
  <si>
    <t>Hệ số Nợ trên Vốn chủ sở hữu (D/E)</t>
  </si>
  <si>
    <t>Tổng nợ phải trả / Vốn CSH</t>
  </si>
  <si>
    <t>1.5 - 2.5</t>
  </si>
  <si>
    <t>1.60 lần; đòn bẩy hoạt động thương mại hiệu quả</t>
  </si>
  <si>
    <t>6</t>
  </si>
  <si>
    <t>Hệ số khả năng chi trả lãi vay (ICR)</t>
  </si>
  <si>
    <t>EBIT / Chi phí lãi vay</t>
  </si>
  <si>
    <t>&gt; 3.0 lần</t>
  </si>
  <si>
    <t>5.57 lần; lợi nhuận thừa khả năng trang trải lãi</t>
  </si>
  <si>
    <t>NHÓM CHỈ SỐ HIỆU QUẢ HOẠT ĐỘNG (EFFICIENCY)</t>
  </si>
  <si>
    <t>7</t>
  </si>
  <si>
    <t>Vòng quay hàng tồn kho (Inventory Turnover)</t>
  </si>
  <si>
    <t>Giá vốn hàng bán / Tồn kho bình quân</t>
  </si>
  <si>
    <t>4.5 - 6.0</t>
  </si>
  <si>
    <t>5.04 vòng/năm; tốc độ giải phóng hàng hóa tốt</t>
  </si>
  <si>
    <t>8</t>
  </si>
  <si>
    <t>Thời gian lưu kho bình quân (DSI)</t>
  </si>
  <si>
    <t>365 / Vòng quay hàng tồn kho</t>
  </si>
  <si>
    <t>60 - 80 ngày</t>
  </si>
  <si>
    <t>72.4 ngày; cần đẩy nhanh nhóm đồ gia dụng</t>
  </si>
  <si>
    <t>9</t>
  </si>
  <si>
    <t>Vòng quay các khoản phải thu</t>
  </si>
  <si>
    <t>Doanh thu thuần / Phải thu bình quân</t>
  </si>
  <si>
    <t>&gt; 20 vòng</t>
  </si>
  <si>
    <t>23.38 vòng/năm; thu hồi tiền B2B trong 15 ngày</t>
  </si>
  <si>
    <t>Vòng quay Tổng tài sản (Asset Turnover)</t>
  </si>
  <si>
    <t>Doanh thu thuần / Tổng TS bình quân</t>
  </si>
  <si>
    <t>2.0 - 3.0</t>
  </si>
  <si>
    <t>2.40 vòng/năm; tài sản tạo doanh số vượt trội</t>
  </si>
  <si>
    <t>IV</t>
  </si>
  <si>
    <t>NHÓM CHỈ SỐ SINH LỜI &amp; MÔ HÌNH DUPONT (PROFITABILITY)</t>
  </si>
  <si>
    <t>Tỷ suất Lợi nhuận gộp (Gross Margin)</t>
  </si>
  <si>
    <t>Lợi nhuận gộp / Doanh thu thuần</t>
  </si>
  <si>
    <t>18% - 22%</t>
  </si>
  <si>
    <t>20.0%; ổn định vững chắc cho ngành FMCG</t>
  </si>
  <si>
    <t>12</t>
  </si>
  <si>
    <t>Tỷ suất Sinh lời trên Doanh thu (ROS)</t>
  </si>
  <si>
    <t>Lợi nhuận sau thuế / Doanh thu thuần</t>
  </si>
  <si>
    <t>2.5% - 4.5%</t>
  </si>
  <si>
    <t>3.47%; biên ròng mỏng đặc trưng của bán lẻ</t>
  </si>
  <si>
    <t>13</t>
  </si>
  <si>
    <t>Tỷ suất Sinh lời trên Tài sản (ROA)</t>
  </si>
  <si>
    <t>LNST / Tổng tài sản bình quân</t>
  </si>
  <si>
    <t>6% - 10%</t>
  </si>
  <si>
    <t>8.33%; hiệu quả sinh lời trên tài sản tốt</t>
  </si>
  <si>
    <t>LNST / Vốn CSH bình quân (DuPont)</t>
  </si>
  <si>
    <t>18% - 25%</t>
  </si>
  <si>
    <t>21.51%; ROE rất cao nhờ vòng quay tài sản cao</t>
  </si>
  <si>
    <t>V. KẾT LUẬN &amp; ĐẶC TRƯNG TÀI CHÍNH BÁN LẺ DÀNH CHO BÀI TẬP PHÂN TÍCH</t>
  </si>
  <si>
    <t>1. Đặc trưng biên lợi nhuận mỏng nhưng ROE khủng: ROS chỉ đạt 3,47% nhưng ROE lên tới 21,51% nhờ Vòng quay Tổng tài sản đạt 2,40 vòng/năm.</t>
  </si>
  <si>
    <t>2. Mô hình chiếm dụng vốn nhà cung cấp: Nợ người bán lên tới 9.850 tỷ đồng (kỳ hạn trả 45 ngày), trong khi bán lẻ thu tiền mặt ngay lập tức giúp bù đắp thanh toán nhanh.</t>
  </si>
  <si>
    <t>3. Điểm khuyến nghị trọng tâm cho học viên phân tích: Cần áp dụng Mô hình DuPont (ROE = ROS x Vòng quay TS x Đòn bẩy tài chính) để giải thích sự thành công của chuỗi siêu thị!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</si>
</sst>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Times New Roman"/>
    </font>
    <font>
      <b/>
      <sz val="13"/>
      <color rgb="FF333333"/>
      <name val="Times New Roman"/>
    </font>
    <font>
      <i/>
      <sz val="11"/>
      <color rgb="FF333333"/>
      <name val="Times New Roman"/>
    </font>
    <font>
      <b/>
      <sz val="11"/>
      <color rgb="FF1F4E79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FFFFFF"/>
      <name val="Times New Roman"/>
    </font>
    <font>
      <i/>
      <sz val="10"/>
      <color rgb="FF666666"/>
      <name val="Times New Roman"/>
    </font>
    <font>
      <b/>
      <sz val="14"/>
      <color rgb="FF1F4E79"/>
      <name val="Times New Roman"/>
    </font>
    <font>
      <i/>
      <sz val="10"/>
      <color rgb="FF555555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double">
        <color rgb="FF1F4E79"/>
      </bottom>
      <diagonal/>
    </border>
    <border>
      <left/>
      <right style="thin">
        <color rgb="FFD9D9D9"/>
      </right>
      <top style="medium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3" fontId="9" fillId="5" borderId="2" xfId="0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2" xfId="0" applyFont="1" applyBorder="1"/>
    <xf numFmtId="3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sqref="A1:G1"/>
    </sheetView>
  </sheetViews>
  <sheetFormatPr defaultRowHeight="14.4" x14ac:dyDescent="0.55000000000000004"/>
  <cols>
    <col min="1" max="1" width="7" customWidth="1"/>
    <col min="2" max="2" width="40" customWidth="1"/>
    <col min="3" max="3" width="14" customWidth="1"/>
    <col min="4" max="5" width="22" customWidth="1"/>
    <col min="6" max="7" width="20" customWidth="1"/>
  </cols>
  <sheetData>
    <row r="1" spans="1:7" ht="30" customHeight="1" x14ac:dyDescent="0.55000000000000004">
      <c r="A1" s="36" t="s">
        <v>0</v>
      </c>
      <c r="B1" s="34"/>
      <c r="C1" s="34"/>
      <c r="D1" s="34"/>
      <c r="E1" s="34"/>
      <c r="F1" s="34"/>
      <c r="G1" s="34"/>
    </row>
    <row r="2" spans="1:7" ht="24" customHeight="1" x14ac:dyDescent="0.55000000000000004">
      <c r="A2" s="39" t="s">
        <v>1</v>
      </c>
      <c r="B2" s="34"/>
      <c r="C2" s="34"/>
      <c r="D2" s="34"/>
      <c r="E2" s="34"/>
      <c r="F2" s="34"/>
      <c r="G2" s="34"/>
    </row>
    <row r="3" spans="1:7" ht="20.05" customHeight="1" x14ac:dyDescent="0.55000000000000004">
      <c r="A3" s="38" t="s">
        <v>2</v>
      </c>
      <c r="B3" s="34"/>
      <c r="C3" s="34"/>
      <c r="D3" s="34"/>
      <c r="E3" s="34"/>
      <c r="F3" s="34"/>
      <c r="G3" s="34"/>
    </row>
    <row r="5" spans="1:7" ht="25" customHeight="1" x14ac:dyDescent="0.55000000000000004">
      <c r="A5" s="37" t="s">
        <v>3</v>
      </c>
      <c r="B5" s="34"/>
      <c r="C5" s="34"/>
      <c r="D5" s="34"/>
      <c r="E5" s="34"/>
      <c r="F5" s="34"/>
      <c r="G5" s="34"/>
    </row>
    <row r="6" spans="1:7" ht="22" customHeight="1" x14ac:dyDescent="0.55000000000000004">
      <c r="A6" s="1" t="s">
        <v>4</v>
      </c>
      <c r="B6" s="33" t="s">
        <v>5</v>
      </c>
      <c r="C6" s="34"/>
      <c r="D6" s="35" t="s">
        <v>6</v>
      </c>
      <c r="E6" s="34"/>
      <c r="F6" s="34"/>
      <c r="G6" s="34"/>
    </row>
    <row r="7" spans="1:7" ht="22" customHeight="1" x14ac:dyDescent="0.55000000000000004">
      <c r="A7" s="1" t="s">
        <v>4</v>
      </c>
      <c r="B7" s="33" t="s">
        <v>7</v>
      </c>
      <c r="C7" s="34"/>
      <c r="D7" s="35" t="s">
        <v>8</v>
      </c>
      <c r="E7" s="34"/>
      <c r="F7" s="34"/>
      <c r="G7" s="34"/>
    </row>
    <row r="8" spans="1:7" ht="22" customHeight="1" x14ac:dyDescent="0.55000000000000004">
      <c r="A8" s="1" t="s">
        <v>4</v>
      </c>
      <c r="B8" s="33" t="s">
        <v>9</v>
      </c>
      <c r="C8" s="34"/>
      <c r="D8" s="35" t="s">
        <v>10</v>
      </c>
      <c r="E8" s="34"/>
      <c r="F8" s="34"/>
      <c r="G8" s="34"/>
    </row>
    <row r="9" spans="1:7" ht="22" customHeight="1" x14ac:dyDescent="0.55000000000000004">
      <c r="A9" s="1" t="s">
        <v>4</v>
      </c>
      <c r="B9" s="33" t="s">
        <v>11</v>
      </c>
      <c r="C9" s="34"/>
      <c r="D9" s="35" t="s">
        <v>12</v>
      </c>
      <c r="E9" s="34"/>
      <c r="F9" s="34"/>
      <c r="G9" s="34"/>
    </row>
    <row r="10" spans="1:7" ht="22" customHeight="1" x14ac:dyDescent="0.55000000000000004">
      <c r="A10" s="1" t="s">
        <v>4</v>
      </c>
      <c r="B10" s="33" t="s">
        <v>13</v>
      </c>
      <c r="C10" s="34"/>
      <c r="D10" s="35" t="s">
        <v>14</v>
      </c>
      <c r="E10" s="34"/>
      <c r="F10" s="34"/>
      <c r="G10" s="34"/>
    </row>
    <row r="11" spans="1:7" ht="22" customHeight="1" x14ac:dyDescent="0.55000000000000004">
      <c r="A11" s="1" t="s">
        <v>4</v>
      </c>
      <c r="B11" s="33" t="s">
        <v>15</v>
      </c>
      <c r="C11" s="34"/>
      <c r="D11" s="35" t="s">
        <v>16</v>
      </c>
      <c r="E11" s="34"/>
      <c r="F11" s="34"/>
      <c r="G11" s="34"/>
    </row>
    <row r="12" spans="1:7" ht="22" customHeight="1" x14ac:dyDescent="0.55000000000000004">
      <c r="A12" s="1" t="s">
        <v>4</v>
      </c>
      <c r="B12" s="33" t="s">
        <v>17</v>
      </c>
      <c r="C12" s="34"/>
      <c r="D12" s="35" t="s">
        <v>18</v>
      </c>
      <c r="E12" s="34"/>
      <c r="F12" s="34"/>
      <c r="G12" s="34"/>
    </row>
    <row r="13" spans="1:7" ht="22" customHeight="1" x14ac:dyDescent="0.55000000000000004">
      <c r="A13" s="1" t="s">
        <v>4</v>
      </c>
      <c r="B13" s="33" t="s">
        <v>19</v>
      </c>
      <c r="C13" s="34"/>
      <c r="D13" s="35" t="s">
        <v>20</v>
      </c>
      <c r="E13" s="34"/>
      <c r="F13" s="34"/>
      <c r="G13" s="34"/>
    </row>
    <row r="14" spans="1:7" ht="22" customHeight="1" x14ac:dyDescent="0.55000000000000004">
      <c r="A14" s="1" t="s">
        <v>4</v>
      </c>
      <c r="B14" s="33" t="s">
        <v>21</v>
      </c>
      <c r="C14" s="34"/>
      <c r="D14" s="35" t="s">
        <v>22</v>
      </c>
      <c r="E14" s="34"/>
      <c r="F14" s="34"/>
      <c r="G14" s="34"/>
    </row>
    <row r="15" spans="1:7" ht="22" customHeight="1" x14ac:dyDescent="0.55000000000000004">
      <c r="A15" s="1" t="s">
        <v>4</v>
      </c>
      <c r="B15" s="33" t="s">
        <v>23</v>
      </c>
      <c r="C15" s="34"/>
      <c r="D15" s="35" t="s">
        <v>24</v>
      </c>
      <c r="E15" s="34"/>
      <c r="F15" s="34"/>
      <c r="G15" s="34"/>
    </row>
    <row r="16" spans="1:7" ht="22" customHeight="1" x14ac:dyDescent="0.55000000000000004">
      <c r="A16" s="1" t="s">
        <v>4</v>
      </c>
      <c r="B16" s="33" t="s">
        <v>25</v>
      </c>
      <c r="C16" s="34"/>
      <c r="D16" s="35" t="s">
        <v>26</v>
      </c>
      <c r="E16" s="34"/>
      <c r="F16" s="34"/>
      <c r="G16" s="34"/>
    </row>
    <row r="18" spans="1:7" ht="25" customHeight="1" x14ac:dyDescent="0.55000000000000004">
      <c r="A18" s="37" t="s">
        <v>27</v>
      </c>
      <c r="B18" s="34"/>
      <c r="C18" s="34"/>
      <c r="D18" s="34"/>
      <c r="E18" s="34"/>
      <c r="F18" s="34"/>
      <c r="G18" s="34"/>
    </row>
    <row r="19" spans="1:7" ht="28" customHeight="1" x14ac:dyDescent="0.55000000000000004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</row>
    <row r="20" spans="1:7" ht="22" customHeight="1" x14ac:dyDescent="0.55000000000000004">
      <c r="A20" s="3">
        <v>1</v>
      </c>
      <c r="B20" s="4" t="s">
        <v>35</v>
      </c>
      <c r="C20" s="3" t="s">
        <v>36</v>
      </c>
      <c r="D20" s="5">
        <v>86500000000</v>
      </c>
      <c r="E20" s="5">
        <v>72800000000</v>
      </c>
      <c r="F20" s="5">
        <f t="shared" ref="F20:F31" si="0">D20-E20</f>
        <v>13700000000</v>
      </c>
      <c r="G20" s="6">
        <f t="shared" ref="G20:G31" si="1">F20/E20</f>
        <v>0.18818681318681318</v>
      </c>
    </row>
    <row r="21" spans="1:7" ht="22" customHeight="1" x14ac:dyDescent="0.55000000000000004">
      <c r="A21" s="7">
        <v>2</v>
      </c>
      <c r="B21" s="8" t="s">
        <v>37</v>
      </c>
      <c r="C21" s="7" t="s">
        <v>36</v>
      </c>
      <c r="D21" s="9">
        <v>17300000000</v>
      </c>
      <c r="E21" s="9">
        <v>14268800000</v>
      </c>
      <c r="F21" s="9">
        <f t="shared" si="0"/>
        <v>3031200000</v>
      </c>
      <c r="G21" s="10">
        <f t="shared" si="1"/>
        <v>0.21243552366001345</v>
      </c>
    </row>
    <row r="22" spans="1:7" ht="22" customHeight="1" x14ac:dyDescent="0.55000000000000004">
      <c r="A22" s="7">
        <v>3</v>
      </c>
      <c r="B22" s="8" t="s">
        <v>38</v>
      </c>
      <c r="C22" s="7" t="s">
        <v>36</v>
      </c>
      <c r="D22" s="9">
        <v>3750000000</v>
      </c>
      <c r="E22" s="9">
        <v>2125000000</v>
      </c>
      <c r="F22" s="9">
        <f t="shared" si="0"/>
        <v>1625000000</v>
      </c>
      <c r="G22" s="10">
        <f t="shared" si="1"/>
        <v>0.76470588235294112</v>
      </c>
    </row>
    <row r="23" spans="1:7" ht="22" customHeight="1" x14ac:dyDescent="0.55000000000000004">
      <c r="A23" s="3">
        <v>4</v>
      </c>
      <c r="B23" s="4" t="s">
        <v>39</v>
      </c>
      <c r="C23" s="3" t="s">
        <v>36</v>
      </c>
      <c r="D23" s="5">
        <v>3000000000</v>
      </c>
      <c r="E23" s="5">
        <v>1700000000</v>
      </c>
      <c r="F23" s="5">
        <f t="shared" si="0"/>
        <v>1300000000</v>
      </c>
      <c r="G23" s="6">
        <f t="shared" si="1"/>
        <v>0.76470588235294112</v>
      </c>
    </row>
    <row r="24" spans="1:7" ht="22" customHeight="1" x14ac:dyDescent="0.55000000000000004">
      <c r="A24" s="7">
        <v>5</v>
      </c>
      <c r="B24" s="8" t="s">
        <v>40</v>
      </c>
      <c r="C24" s="7" t="s">
        <v>36</v>
      </c>
      <c r="D24" s="9">
        <v>39000000000</v>
      </c>
      <c r="E24" s="9">
        <v>33000000000</v>
      </c>
      <c r="F24" s="9">
        <f t="shared" si="0"/>
        <v>6000000000</v>
      </c>
      <c r="G24" s="10">
        <f t="shared" si="1"/>
        <v>0.18181818181818182</v>
      </c>
    </row>
    <row r="25" spans="1:7" ht="22" customHeight="1" x14ac:dyDescent="0.55000000000000004">
      <c r="A25" s="7">
        <v>6</v>
      </c>
      <c r="B25" s="8" t="s">
        <v>41</v>
      </c>
      <c r="C25" s="7" t="s">
        <v>36</v>
      </c>
      <c r="D25" s="9">
        <v>15000000000</v>
      </c>
      <c r="E25" s="9">
        <v>12900000000</v>
      </c>
      <c r="F25" s="9">
        <f t="shared" si="0"/>
        <v>2100000000</v>
      </c>
      <c r="G25" s="10">
        <f t="shared" si="1"/>
        <v>0.16279069767441862</v>
      </c>
    </row>
    <row r="26" spans="1:7" ht="22" customHeight="1" x14ac:dyDescent="0.55000000000000004">
      <c r="A26" s="7">
        <v>7</v>
      </c>
      <c r="B26" s="8" t="s">
        <v>42</v>
      </c>
      <c r="C26" s="7" t="s">
        <v>36</v>
      </c>
      <c r="D26" s="9">
        <v>14650000000</v>
      </c>
      <c r="E26" s="9">
        <v>12800000000</v>
      </c>
      <c r="F26" s="9">
        <f t="shared" si="0"/>
        <v>1850000000</v>
      </c>
      <c r="G26" s="10">
        <f t="shared" si="1"/>
        <v>0.14453125</v>
      </c>
    </row>
    <row r="27" spans="1:7" ht="22" customHeight="1" x14ac:dyDescent="0.55000000000000004">
      <c r="A27" s="3">
        <v>8</v>
      </c>
      <c r="B27" s="4" t="s">
        <v>43</v>
      </c>
      <c r="C27" s="3" t="s">
        <v>44</v>
      </c>
      <c r="D27" s="6">
        <v>0.2</v>
      </c>
      <c r="E27" s="6">
        <v>0.19600000000000001</v>
      </c>
      <c r="F27" s="6">
        <f t="shared" si="0"/>
        <v>4.0000000000000036E-3</v>
      </c>
      <c r="G27" s="6">
        <f t="shared" si="1"/>
        <v>2.0408163265306138E-2</v>
      </c>
    </row>
    <row r="28" spans="1:7" ht="22" customHeight="1" x14ac:dyDescent="0.55000000000000004">
      <c r="A28" s="7">
        <v>9</v>
      </c>
      <c r="B28" s="8" t="s">
        <v>45</v>
      </c>
      <c r="C28" s="7" t="s">
        <v>44</v>
      </c>
      <c r="D28" s="10">
        <v>3.4700000000000002E-2</v>
      </c>
      <c r="E28" s="10">
        <v>2.3400000000000001E-2</v>
      </c>
      <c r="F28" s="10">
        <f t="shared" si="0"/>
        <v>1.1300000000000001E-2</v>
      </c>
      <c r="G28" s="10">
        <f t="shared" si="1"/>
        <v>0.48290598290598291</v>
      </c>
    </row>
    <row r="29" spans="1:7" ht="22" customHeight="1" x14ac:dyDescent="0.55000000000000004">
      <c r="A29" s="3">
        <v>10</v>
      </c>
      <c r="B29" s="4" t="s">
        <v>46</v>
      </c>
      <c r="C29" s="3" t="s">
        <v>44</v>
      </c>
      <c r="D29" s="6">
        <v>0.21510000000000001</v>
      </c>
      <c r="E29" s="6">
        <v>0.1411</v>
      </c>
      <c r="F29" s="6">
        <f t="shared" si="0"/>
        <v>7.400000000000001E-2</v>
      </c>
      <c r="G29" s="6">
        <f t="shared" si="1"/>
        <v>0.52445074415308301</v>
      </c>
    </row>
    <row r="30" spans="1:7" ht="22" customHeight="1" x14ac:dyDescent="0.55000000000000004">
      <c r="A30" s="3">
        <v>11</v>
      </c>
      <c r="B30" s="4" t="s">
        <v>47</v>
      </c>
      <c r="C30" s="3" t="s">
        <v>48</v>
      </c>
      <c r="D30" s="11">
        <v>5.04</v>
      </c>
      <c r="E30" s="11">
        <v>4.7</v>
      </c>
      <c r="F30" s="11">
        <f t="shared" si="0"/>
        <v>0.33999999999999986</v>
      </c>
      <c r="G30" s="6">
        <f t="shared" si="1"/>
        <v>7.2340425531914859E-2</v>
      </c>
    </row>
    <row r="31" spans="1:7" ht="22" customHeight="1" x14ac:dyDescent="0.55000000000000004">
      <c r="A31" s="7">
        <v>12</v>
      </c>
      <c r="B31" s="8" t="s">
        <v>49</v>
      </c>
      <c r="C31" s="7" t="s">
        <v>44</v>
      </c>
      <c r="D31" s="10">
        <v>0.61539999999999995</v>
      </c>
      <c r="E31" s="10">
        <v>0.60909999999999997</v>
      </c>
      <c r="F31" s="10">
        <f t="shared" si="0"/>
        <v>6.2999999999999723E-3</v>
      </c>
      <c r="G31" s="10">
        <f t="shared" si="1"/>
        <v>1.0343129207026716E-2</v>
      </c>
    </row>
  </sheetData>
  <mergeCells count="27">
    <mergeCell ref="A18:G18"/>
    <mergeCell ref="A3:G3"/>
    <mergeCell ref="D16:G16"/>
    <mergeCell ref="D7:G7"/>
    <mergeCell ref="A2:G2"/>
    <mergeCell ref="A5:G5"/>
    <mergeCell ref="A1:G1"/>
    <mergeCell ref="D6:G6"/>
    <mergeCell ref="B10:C10"/>
    <mergeCell ref="D11:G11"/>
    <mergeCell ref="D13:G13"/>
    <mergeCell ref="B9:C9"/>
    <mergeCell ref="B6:C6"/>
    <mergeCell ref="B16:C16"/>
    <mergeCell ref="D9:G9"/>
    <mergeCell ref="B7:C7"/>
    <mergeCell ref="D12:G12"/>
    <mergeCell ref="D8:G8"/>
    <mergeCell ref="D15:G15"/>
    <mergeCell ref="D14:G14"/>
    <mergeCell ref="B12:C12"/>
    <mergeCell ref="B11:C11"/>
    <mergeCell ref="B14:C14"/>
    <mergeCell ref="D10:G10"/>
    <mergeCell ref="B8:C8"/>
    <mergeCell ref="B13:C13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topLeftCell="A19" workbookViewId="0">
      <selection sqref="A1:C1"/>
    </sheetView>
  </sheetViews>
  <sheetFormatPr defaultRowHeight="14.4" x14ac:dyDescent="0.55000000000000004"/>
  <cols>
    <col min="1" max="1" width="9" customWidth="1"/>
    <col min="2" max="2" width="60" customWidth="1"/>
    <col min="3" max="3" width="18" customWidth="1"/>
    <col min="4" max="4" width="28" customWidth="1"/>
    <col min="5" max="5" width="46" customWidth="1"/>
  </cols>
  <sheetData>
    <row r="1" spans="1:5" x14ac:dyDescent="0.55000000000000004">
      <c r="A1" s="41" t="s">
        <v>6</v>
      </c>
      <c r="B1" s="34"/>
      <c r="C1" s="34"/>
      <c r="E1" s="12" t="s">
        <v>50</v>
      </c>
    </row>
    <row r="2" spans="1:5" x14ac:dyDescent="0.55000000000000004">
      <c r="A2" s="43" t="s">
        <v>51</v>
      </c>
      <c r="B2" s="34"/>
      <c r="C2" s="34"/>
      <c r="E2" s="13" t="s">
        <v>52</v>
      </c>
    </row>
    <row r="3" spans="1:5" x14ac:dyDescent="0.55000000000000004">
      <c r="A3" s="43" t="s">
        <v>53</v>
      </c>
      <c r="B3" s="34"/>
      <c r="C3" s="34"/>
      <c r="E3" s="13" t="s">
        <v>54</v>
      </c>
    </row>
    <row r="5" spans="1:5" ht="26.05" customHeight="1" x14ac:dyDescent="0.55000000000000004">
      <c r="A5" s="42" t="s">
        <v>55</v>
      </c>
      <c r="B5" s="34"/>
      <c r="C5" s="34"/>
      <c r="D5" s="34"/>
      <c r="E5" s="34"/>
    </row>
    <row r="6" spans="1:5" ht="20.05" customHeight="1" x14ac:dyDescent="0.55000000000000004">
      <c r="A6" s="44" t="s">
        <v>56</v>
      </c>
      <c r="B6" s="34"/>
      <c r="C6" s="34"/>
      <c r="D6" s="34"/>
      <c r="E6" s="34"/>
    </row>
    <row r="7" spans="1:5" ht="18" customHeight="1" x14ac:dyDescent="0.55000000000000004">
      <c r="E7" s="14" t="s">
        <v>57</v>
      </c>
    </row>
    <row r="8" spans="1:5" ht="28" customHeight="1" x14ac:dyDescent="0.55000000000000004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</row>
    <row r="9" spans="1:5" ht="26.05" customHeight="1" x14ac:dyDescent="0.55000000000000004">
      <c r="A9" s="15" t="s">
        <v>63</v>
      </c>
      <c r="B9" s="16" t="s">
        <v>64</v>
      </c>
      <c r="C9" s="15"/>
      <c r="D9" s="17">
        <f>D10+D13+D14+D18+D19</f>
        <v>25800000000</v>
      </c>
      <c r="E9" s="17">
        <f>E10+E13+E14+E18+E19</f>
        <v>21100000000</v>
      </c>
    </row>
    <row r="10" spans="1:5" ht="23.05" customHeight="1" x14ac:dyDescent="0.55000000000000004">
      <c r="A10" s="18" t="s">
        <v>65</v>
      </c>
      <c r="B10" s="19" t="s">
        <v>66</v>
      </c>
      <c r="C10" s="18" t="s">
        <v>67</v>
      </c>
      <c r="D10" s="20">
        <f>D11+D12</f>
        <v>4850000000</v>
      </c>
      <c r="E10" s="20">
        <f>E11+E12</f>
        <v>3200000000</v>
      </c>
    </row>
    <row r="11" spans="1:5" ht="23.05" customHeight="1" x14ac:dyDescent="0.55000000000000004">
      <c r="A11" s="7" t="s">
        <v>68</v>
      </c>
      <c r="B11" s="8" t="s">
        <v>69</v>
      </c>
      <c r="C11" s="7"/>
      <c r="D11" s="9">
        <v>850000000</v>
      </c>
      <c r="E11" s="9">
        <v>600000000</v>
      </c>
    </row>
    <row r="12" spans="1:5" ht="23.05" customHeight="1" x14ac:dyDescent="0.55000000000000004">
      <c r="A12" s="7" t="s">
        <v>70</v>
      </c>
      <c r="B12" s="8" t="s">
        <v>71</v>
      </c>
      <c r="C12" s="7"/>
      <c r="D12" s="9">
        <v>4000000000</v>
      </c>
      <c r="E12" s="9">
        <v>2600000000</v>
      </c>
    </row>
    <row r="13" spans="1:5" ht="23.05" customHeight="1" x14ac:dyDescent="0.55000000000000004">
      <c r="A13" s="18" t="s">
        <v>72</v>
      </c>
      <c r="B13" s="19" t="s">
        <v>73</v>
      </c>
      <c r="C13" s="18" t="s">
        <v>74</v>
      </c>
      <c r="D13" s="20">
        <v>2000000000</v>
      </c>
      <c r="E13" s="20">
        <v>1500000000</v>
      </c>
    </row>
    <row r="14" spans="1:5" ht="23.05" customHeight="1" x14ac:dyDescent="0.55000000000000004">
      <c r="A14" s="18" t="s">
        <v>75</v>
      </c>
      <c r="B14" s="19" t="s">
        <v>76</v>
      </c>
      <c r="C14" s="18" t="s">
        <v>77</v>
      </c>
      <c r="D14" s="20">
        <f>SUM(D15:D17)</f>
        <v>4000000000</v>
      </c>
      <c r="E14" s="20">
        <f>SUM(E15:E17)</f>
        <v>3400000000</v>
      </c>
    </row>
    <row r="15" spans="1:5" ht="23.05" customHeight="1" x14ac:dyDescent="0.55000000000000004">
      <c r="A15" s="7" t="s">
        <v>78</v>
      </c>
      <c r="B15" s="8" t="s">
        <v>79</v>
      </c>
      <c r="C15" s="7" t="s">
        <v>80</v>
      </c>
      <c r="D15" s="9">
        <v>3250000000</v>
      </c>
      <c r="E15" s="9">
        <v>2800000000</v>
      </c>
    </row>
    <row r="16" spans="1:5" ht="23.05" customHeight="1" x14ac:dyDescent="0.55000000000000004">
      <c r="A16" s="7" t="s">
        <v>81</v>
      </c>
      <c r="B16" s="8" t="s">
        <v>82</v>
      </c>
      <c r="C16" s="7"/>
      <c r="D16" s="9">
        <v>820000000</v>
      </c>
      <c r="E16" s="9">
        <v>650000000</v>
      </c>
    </row>
    <row r="17" spans="1:5" ht="23.05" customHeight="1" x14ac:dyDescent="0.55000000000000004">
      <c r="A17" s="7" t="s">
        <v>83</v>
      </c>
      <c r="B17" s="8" t="s">
        <v>84</v>
      </c>
      <c r="C17" s="7" t="s">
        <v>85</v>
      </c>
      <c r="D17" s="9">
        <v>-70000000</v>
      </c>
      <c r="E17" s="9">
        <v>-50000000</v>
      </c>
    </row>
    <row r="18" spans="1:5" ht="23.05" customHeight="1" x14ac:dyDescent="0.55000000000000004">
      <c r="A18" s="18" t="s">
        <v>86</v>
      </c>
      <c r="B18" s="19" t="s">
        <v>87</v>
      </c>
      <c r="C18" s="18" t="s">
        <v>88</v>
      </c>
      <c r="D18" s="20">
        <v>14650000000</v>
      </c>
      <c r="E18" s="20">
        <v>12800000000</v>
      </c>
    </row>
    <row r="19" spans="1:5" ht="23.05" customHeight="1" x14ac:dyDescent="0.55000000000000004">
      <c r="A19" s="18" t="s">
        <v>89</v>
      </c>
      <c r="B19" s="19" t="s">
        <v>90</v>
      </c>
      <c r="C19" s="18" t="s">
        <v>91</v>
      </c>
      <c r="D19" s="20">
        <v>300000000</v>
      </c>
      <c r="E19" s="20">
        <v>200000000</v>
      </c>
    </row>
    <row r="20" spans="1:5" ht="26.05" customHeight="1" x14ac:dyDescent="0.55000000000000004">
      <c r="A20" s="15" t="s">
        <v>92</v>
      </c>
      <c r="B20" s="16" t="s">
        <v>93</v>
      </c>
      <c r="C20" s="15"/>
      <c r="D20" s="17">
        <f>D21+D28+D29</f>
        <v>13200000000</v>
      </c>
      <c r="E20" s="17">
        <f>E21+E28+E29</f>
        <v>11900000000</v>
      </c>
    </row>
    <row r="21" spans="1:5" ht="23.05" customHeight="1" x14ac:dyDescent="0.55000000000000004">
      <c r="A21" s="18" t="s">
        <v>94</v>
      </c>
      <c r="B21" s="19" t="s">
        <v>95</v>
      </c>
      <c r="C21" s="18" t="s">
        <v>96</v>
      </c>
      <c r="D21" s="20">
        <f>D22+D25</f>
        <v>9900000000</v>
      </c>
      <c r="E21" s="20">
        <f>E22+E25</f>
        <v>8600000000</v>
      </c>
    </row>
    <row r="22" spans="1:5" ht="23.05" customHeight="1" x14ac:dyDescent="0.55000000000000004">
      <c r="A22" s="7" t="s">
        <v>97</v>
      </c>
      <c r="B22" s="8" t="s">
        <v>98</v>
      </c>
      <c r="C22" s="7"/>
      <c r="D22" s="9">
        <f>D23+D24</f>
        <v>8300000000</v>
      </c>
      <c r="E22" s="9">
        <f>E23+E24</f>
        <v>7100000000</v>
      </c>
    </row>
    <row r="23" spans="1:5" ht="23.05" customHeight="1" x14ac:dyDescent="0.55000000000000004">
      <c r="A23" s="7" t="s">
        <v>99</v>
      </c>
      <c r="B23" s="8" t="s">
        <v>100</v>
      </c>
      <c r="C23" s="7"/>
      <c r="D23" s="9">
        <v>12500000000</v>
      </c>
      <c r="E23" s="9">
        <v>10200000000</v>
      </c>
    </row>
    <row r="24" spans="1:5" ht="23.05" customHeight="1" x14ac:dyDescent="0.55000000000000004">
      <c r="A24" s="7" t="s">
        <v>101</v>
      </c>
      <c r="B24" s="8" t="s">
        <v>102</v>
      </c>
      <c r="C24" s="7"/>
      <c r="D24" s="9">
        <v>-4200000000</v>
      </c>
      <c r="E24" s="9">
        <v>-3100000000</v>
      </c>
    </row>
    <row r="25" spans="1:5" ht="23.05" customHeight="1" x14ac:dyDescent="0.55000000000000004">
      <c r="A25" s="7" t="s">
        <v>103</v>
      </c>
      <c r="B25" s="8" t="s">
        <v>104</v>
      </c>
      <c r="C25" s="7"/>
      <c r="D25" s="9">
        <f>D26+D27</f>
        <v>1600000000</v>
      </c>
      <c r="E25" s="9">
        <f>E26+E27</f>
        <v>1500000000</v>
      </c>
    </row>
    <row r="26" spans="1:5" ht="23.05" customHeight="1" x14ac:dyDescent="0.55000000000000004">
      <c r="A26" s="7" t="s">
        <v>105</v>
      </c>
      <c r="B26" s="8" t="s">
        <v>100</v>
      </c>
      <c r="C26" s="7"/>
      <c r="D26" s="9">
        <v>2400000000</v>
      </c>
      <c r="E26" s="9">
        <v>2000000000</v>
      </c>
    </row>
    <row r="27" spans="1:5" ht="23.05" customHeight="1" x14ac:dyDescent="0.55000000000000004">
      <c r="A27" s="7" t="s">
        <v>106</v>
      </c>
      <c r="B27" s="8" t="s">
        <v>102</v>
      </c>
      <c r="C27" s="7"/>
      <c r="D27" s="9">
        <v>-800000000</v>
      </c>
      <c r="E27" s="9">
        <v>-500000000</v>
      </c>
    </row>
    <row r="28" spans="1:5" ht="23.05" customHeight="1" x14ac:dyDescent="0.55000000000000004">
      <c r="A28" s="18" t="s">
        <v>107</v>
      </c>
      <c r="B28" s="19" t="s">
        <v>108</v>
      </c>
      <c r="C28" s="18" t="s">
        <v>109</v>
      </c>
      <c r="D28" s="20">
        <v>1100000000</v>
      </c>
      <c r="E28" s="20">
        <v>1500000000</v>
      </c>
    </row>
    <row r="29" spans="1:5" ht="23.05" customHeight="1" x14ac:dyDescent="0.55000000000000004">
      <c r="A29" s="18" t="s">
        <v>110</v>
      </c>
      <c r="B29" s="19" t="s">
        <v>111</v>
      </c>
      <c r="C29" s="18" t="s">
        <v>112</v>
      </c>
      <c r="D29" s="20">
        <v>2200000000</v>
      </c>
      <c r="E29" s="20">
        <v>1800000000</v>
      </c>
    </row>
    <row r="30" spans="1:5" ht="28" customHeight="1" x14ac:dyDescent="0.55000000000000004">
      <c r="A30" s="21" t="s">
        <v>113</v>
      </c>
      <c r="B30" s="22" t="s">
        <v>114</v>
      </c>
      <c r="C30" s="21"/>
      <c r="D30" s="23">
        <f>D9+D20</f>
        <v>39000000000</v>
      </c>
      <c r="E30" s="23">
        <f>E9+E20</f>
        <v>33000000000</v>
      </c>
    </row>
    <row r="31" spans="1:5" ht="26.05" customHeight="1" x14ac:dyDescent="0.55000000000000004">
      <c r="A31" s="15" t="s">
        <v>115</v>
      </c>
      <c r="B31" s="16" t="s">
        <v>116</v>
      </c>
      <c r="C31" s="15"/>
      <c r="D31" s="17">
        <f>D32+D38</f>
        <v>24000000000</v>
      </c>
      <c r="E31" s="17">
        <f>E32+E38</f>
        <v>20100000000</v>
      </c>
    </row>
    <row r="32" spans="1:5" ht="23.05" customHeight="1" x14ac:dyDescent="0.55000000000000004">
      <c r="A32" s="18" t="s">
        <v>117</v>
      </c>
      <c r="B32" s="19" t="s">
        <v>118</v>
      </c>
      <c r="C32" s="18" t="s">
        <v>119</v>
      </c>
      <c r="D32" s="20">
        <f>SUM(D33:D37)</f>
        <v>20200000000</v>
      </c>
      <c r="E32" s="20">
        <f>SUM(E33:E37)</f>
        <v>16850000000</v>
      </c>
    </row>
    <row r="33" spans="1:5" ht="23.05" customHeight="1" x14ac:dyDescent="0.55000000000000004">
      <c r="A33" s="7" t="s">
        <v>120</v>
      </c>
      <c r="B33" s="8" t="s">
        <v>121</v>
      </c>
      <c r="C33" s="7"/>
      <c r="D33" s="9">
        <v>9850000000</v>
      </c>
      <c r="E33" s="9">
        <v>8200000000</v>
      </c>
    </row>
    <row r="34" spans="1:5" ht="23.05" customHeight="1" x14ac:dyDescent="0.55000000000000004">
      <c r="A34" s="7" t="s">
        <v>122</v>
      </c>
      <c r="B34" s="8" t="s">
        <v>123</v>
      </c>
      <c r="C34" s="7"/>
      <c r="D34" s="9">
        <v>450000000</v>
      </c>
      <c r="E34" s="9">
        <v>350000000</v>
      </c>
    </row>
    <row r="35" spans="1:5" ht="23.05" customHeight="1" x14ac:dyDescent="0.55000000000000004">
      <c r="A35" s="7" t="s">
        <v>124</v>
      </c>
      <c r="B35" s="8" t="s">
        <v>125</v>
      </c>
      <c r="C35" s="7" t="s">
        <v>126</v>
      </c>
      <c r="D35" s="9">
        <v>620000000</v>
      </c>
      <c r="E35" s="9">
        <v>480000000</v>
      </c>
    </row>
    <row r="36" spans="1:5" ht="23.05" customHeight="1" x14ac:dyDescent="0.55000000000000004">
      <c r="A36" s="7" t="s">
        <v>127</v>
      </c>
      <c r="B36" s="8" t="s">
        <v>128</v>
      </c>
      <c r="C36" s="7"/>
      <c r="D36" s="9">
        <v>780000000</v>
      </c>
      <c r="E36" s="9">
        <v>620000000</v>
      </c>
    </row>
    <row r="37" spans="1:5" ht="23.05" customHeight="1" x14ac:dyDescent="0.55000000000000004">
      <c r="A37" s="7" t="s">
        <v>129</v>
      </c>
      <c r="B37" s="8" t="s">
        <v>130</v>
      </c>
      <c r="C37" s="7" t="s">
        <v>131</v>
      </c>
      <c r="D37" s="9">
        <v>8500000000</v>
      </c>
      <c r="E37" s="9">
        <v>7200000000</v>
      </c>
    </row>
    <row r="38" spans="1:5" ht="23.05" customHeight="1" x14ac:dyDescent="0.55000000000000004">
      <c r="A38" s="18" t="s">
        <v>132</v>
      </c>
      <c r="B38" s="19" t="s">
        <v>133</v>
      </c>
      <c r="C38" s="18" t="s">
        <v>134</v>
      </c>
      <c r="D38" s="20">
        <v>3800000000</v>
      </c>
      <c r="E38" s="20">
        <v>3250000000</v>
      </c>
    </row>
    <row r="39" spans="1:5" ht="26.05" customHeight="1" x14ac:dyDescent="0.55000000000000004">
      <c r="A39" s="15" t="s">
        <v>135</v>
      </c>
      <c r="B39" s="16" t="s">
        <v>136</v>
      </c>
      <c r="C39" s="15"/>
      <c r="D39" s="17">
        <f>D40</f>
        <v>15000000000</v>
      </c>
      <c r="E39" s="17">
        <f>E40</f>
        <v>12900000000</v>
      </c>
    </row>
    <row r="40" spans="1:5" ht="23.05" customHeight="1" x14ac:dyDescent="0.55000000000000004">
      <c r="A40" s="18" t="s">
        <v>137</v>
      </c>
      <c r="B40" s="19" t="s">
        <v>138</v>
      </c>
      <c r="C40" s="18" t="s">
        <v>139</v>
      </c>
      <c r="D40" s="20">
        <f>D41+D42+D43</f>
        <v>15000000000</v>
      </c>
      <c r="E40" s="20">
        <f>E41+E42+E43</f>
        <v>12900000000</v>
      </c>
    </row>
    <row r="41" spans="1:5" ht="23.05" customHeight="1" x14ac:dyDescent="0.55000000000000004">
      <c r="A41" s="7" t="s">
        <v>140</v>
      </c>
      <c r="B41" s="8" t="s">
        <v>141</v>
      </c>
      <c r="C41" s="7"/>
      <c r="D41" s="9">
        <v>10000000000</v>
      </c>
      <c r="E41" s="9">
        <v>10000000000</v>
      </c>
    </row>
    <row r="42" spans="1:5" ht="23.05" customHeight="1" x14ac:dyDescent="0.55000000000000004">
      <c r="A42" s="7" t="s">
        <v>142</v>
      </c>
      <c r="B42" s="8" t="s">
        <v>143</v>
      </c>
      <c r="C42" s="7"/>
      <c r="D42" s="9">
        <v>1500000000</v>
      </c>
      <c r="E42" s="9">
        <v>900000000</v>
      </c>
    </row>
    <row r="43" spans="1:5" ht="23.05" customHeight="1" x14ac:dyDescent="0.55000000000000004">
      <c r="A43" s="7" t="s">
        <v>144</v>
      </c>
      <c r="B43" s="8" t="s">
        <v>145</v>
      </c>
      <c r="C43" s="7"/>
      <c r="D43" s="9">
        <f>D44+D45</f>
        <v>3500000000</v>
      </c>
      <c r="E43" s="9">
        <f>E44+E45</f>
        <v>2000000000</v>
      </c>
    </row>
    <row r="44" spans="1:5" ht="23.05" customHeight="1" x14ac:dyDescent="0.55000000000000004">
      <c r="A44" s="7" t="s">
        <v>146</v>
      </c>
      <c r="B44" s="8" t="s">
        <v>147</v>
      </c>
      <c r="C44" s="7"/>
      <c r="D44" s="9">
        <v>500000000</v>
      </c>
      <c r="E44" s="9">
        <v>300000000</v>
      </c>
    </row>
    <row r="45" spans="1:5" ht="23.05" customHeight="1" x14ac:dyDescent="0.55000000000000004">
      <c r="A45" s="7" t="s">
        <v>148</v>
      </c>
      <c r="B45" s="8" t="s">
        <v>149</v>
      </c>
      <c r="C45" s="7"/>
      <c r="D45" s="9">
        <v>3000000000</v>
      </c>
      <c r="E45" s="9">
        <v>1700000000</v>
      </c>
    </row>
    <row r="46" spans="1:5" ht="28" customHeight="1" x14ac:dyDescent="0.55000000000000004">
      <c r="A46" s="21" t="s">
        <v>150</v>
      </c>
      <c r="B46" s="22" t="s">
        <v>151</v>
      </c>
      <c r="C46" s="21"/>
      <c r="D46" s="23">
        <f>D31+D39</f>
        <v>39000000000</v>
      </c>
      <c r="E46" s="23">
        <f>E31+E39</f>
        <v>33000000000</v>
      </c>
    </row>
    <row r="48" spans="1:5" ht="25" customHeight="1" x14ac:dyDescent="0.55000000000000004">
      <c r="B48" s="40" t="s">
        <v>152</v>
      </c>
      <c r="C48" s="34"/>
      <c r="D48" s="24">
        <f>D30-D46</f>
        <v>0</v>
      </c>
      <c r="E48" s="24">
        <f>E30-E46</f>
        <v>0</v>
      </c>
    </row>
    <row r="51" spans="2:5" ht="41.4" x14ac:dyDescent="0.55000000000000004">
      <c r="B51" s="1" t="s">
        <v>153</v>
      </c>
      <c r="C51" s="1" t="s">
        <v>154</v>
      </c>
      <c r="E51" s="1" t="s">
        <v>155</v>
      </c>
    </row>
    <row r="55" spans="2:5" x14ac:dyDescent="0.55000000000000004">
      <c r="B55" s="1" t="s">
        <v>156</v>
      </c>
      <c r="C55" s="1" t="s">
        <v>157</v>
      </c>
      <c r="E55" s="1" t="s">
        <v>158</v>
      </c>
    </row>
  </sheetData>
  <mergeCells count="6">
    <mergeCell ref="B48:C48"/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defaultRowHeight="14.4" x14ac:dyDescent="0.55000000000000004"/>
  <cols>
    <col min="1" max="1" width="9" customWidth="1"/>
    <col min="2" max="2" width="61" customWidth="1"/>
    <col min="3" max="3" width="18" customWidth="1"/>
    <col min="4" max="4" width="26" customWidth="1"/>
    <col min="5" max="5" width="46" customWidth="1"/>
  </cols>
  <sheetData>
    <row r="1" spans="1:5" x14ac:dyDescent="0.55000000000000004">
      <c r="A1" s="41" t="s">
        <v>6</v>
      </c>
      <c r="B1" s="34"/>
      <c r="C1" s="34"/>
      <c r="E1" s="12" t="s">
        <v>159</v>
      </c>
    </row>
    <row r="2" spans="1:5" x14ac:dyDescent="0.55000000000000004">
      <c r="A2" s="43" t="s">
        <v>51</v>
      </c>
      <c r="B2" s="34"/>
      <c r="C2" s="34"/>
      <c r="E2" s="13" t="s">
        <v>52</v>
      </c>
    </row>
    <row r="3" spans="1:5" x14ac:dyDescent="0.55000000000000004">
      <c r="A3" s="43" t="s">
        <v>53</v>
      </c>
      <c r="B3" s="34"/>
      <c r="C3" s="34"/>
      <c r="E3" s="13" t="s">
        <v>54</v>
      </c>
    </row>
    <row r="5" spans="1:5" ht="26.05" customHeight="1" x14ac:dyDescent="0.55000000000000004">
      <c r="A5" s="42" t="s">
        <v>160</v>
      </c>
      <c r="B5" s="34"/>
      <c r="C5" s="34"/>
      <c r="D5" s="34"/>
      <c r="E5" s="34"/>
    </row>
    <row r="6" spans="1:5" ht="20.05" customHeight="1" x14ac:dyDescent="0.55000000000000004">
      <c r="A6" s="44" t="s">
        <v>31</v>
      </c>
      <c r="B6" s="34"/>
      <c r="C6" s="34"/>
      <c r="D6" s="34"/>
      <c r="E6" s="34"/>
    </row>
    <row r="7" spans="1:5" ht="18" customHeight="1" x14ac:dyDescent="0.55000000000000004">
      <c r="E7" s="14" t="s">
        <v>57</v>
      </c>
    </row>
    <row r="8" spans="1:5" ht="28" customHeight="1" x14ac:dyDescent="0.55000000000000004">
      <c r="A8" s="2" t="s">
        <v>58</v>
      </c>
      <c r="B8" s="2" t="s">
        <v>59</v>
      </c>
      <c r="C8" s="2" t="s">
        <v>60</v>
      </c>
      <c r="D8" s="2" t="s">
        <v>161</v>
      </c>
      <c r="E8" s="2" t="s">
        <v>162</v>
      </c>
    </row>
    <row r="9" spans="1:5" ht="24" customHeight="1" x14ac:dyDescent="0.55000000000000004">
      <c r="A9" s="7" t="s">
        <v>163</v>
      </c>
      <c r="B9" s="8" t="s">
        <v>164</v>
      </c>
      <c r="C9" s="7" t="s">
        <v>165</v>
      </c>
      <c r="D9" s="9">
        <v>86500000000</v>
      </c>
      <c r="E9" s="9">
        <v>72800000000</v>
      </c>
    </row>
    <row r="10" spans="1:5" ht="24" customHeight="1" x14ac:dyDescent="0.55000000000000004">
      <c r="A10" s="7" t="s">
        <v>166</v>
      </c>
      <c r="B10" s="8" t="s">
        <v>167</v>
      </c>
      <c r="C10" s="7" t="s">
        <v>168</v>
      </c>
      <c r="D10" s="9">
        <v>0</v>
      </c>
      <c r="E10" s="9">
        <v>0</v>
      </c>
    </row>
    <row r="11" spans="1:5" ht="24" customHeight="1" x14ac:dyDescent="0.55000000000000004">
      <c r="A11" s="15" t="s">
        <v>169</v>
      </c>
      <c r="B11" s="16" t="s">
        <v>170</v>
      </c>
      <c r="C11" s="15" t="s">
        <v>171</v>
      </c>
      <c r="D11" s="17">
        <f>D9-D10</f>
        <v>86500000000</v>
      </c>
      <c r="E11" s="17">
        <f>E9-E10</f>
        <v>72800000000</v>
      </c>
    </row>
    <row r="12" spans="1:5" ht="24" customHeight="1" x14ac:dyDescent="0.55000000000000004">
      <c r="A12" s="7" t="s">
        <v>172</v>
      </c>
      <c r="B12" s="8" t="s">
        <v>173</v>
      </c>
      <c r="C12" s="7" t="s">
        <v>174</v>
      </c>
      <c r="D12" s="9">
        <v>69200000000</v>
      </c>
      <c r="E12" s="9">
        <v>58531200000</v>
      </c>
    </row>
    <row r="13" spans="1:5" ht="24" customHeight="1" x14ac:dyDescent="0.55000000000000004">
      <c r="A13" s="15" t="s">
        <v>175</v>
      </c>
      <c r="B13" s="16" t="s">
        <v>176</v>
      </c>
      <c r="C13" s="15"/>
      <c r="D13" s="17">
        <f>D11-D12</f>
        <v>17300000000</v>
      </c>
      <c r="E13" s="17">
        <f>E11-E12</f>
        <v>14268800000</v>
      </c>
    </row>
    <row r="14" spans="1:5" ht="24" customHeight="1" x14ac:dyDescent="0.55000000000000004">
      <c r="A14" s="7" t="s">
        <v>177</v>
      </c>
      <c r="B14" s="8" t="s">
        <v>178</v>
      </c>
      <c r="C14" s="7" t="s">
        <v>179</v>
      </c>
      <c r="D14" s="9">
        <v>420000000</v>
      </c>
      <c r="E14" s="9">
        <v>310000000</v>
      </c>
    </row>
    <row r="15" spans="1:5" ht="24" customHeight="1" x14ac:dyDescent="0.55000000000000004">
      <c r="A15" s="7" t="s">
        <v>180</v>
      </c>
      <c r="B15" s="8" t="s">
        <v>181</v>
      </c>
      <c r="C15" s="7" t="s">
        <v>182</v>
      </c>
      <c r="D15" s="9">
        <v>860000000</v>
      </c>
      <c r="E15" s="9">
        <v>715000000</v>
      </c>
    </row>
    <row r="16" spans="1:5" ht="24" customHeight="1" x14ac:dyDescent="0.55000000000000004">
      <c r="A16" s="7" t="s">
        <v>183</v>
      </c>
      <c r="B16" s="8" t="s">
        <v>184</v>
      </c>
      <c r="C16" s="7"/>
      <c r="D16" s="9">
        <v>820000000</v>
      </c>
      <c r="E16" s="9">
        <v>680000000</v>
      </c>
    </row>
    <row r="17" spans="1:5" ht="24" customHeight="1" x14ac:dyDescent="0.55000000000000004">
      <c r="A17" s="7" t="s">
        <v>185</v>
      </c>
      <c r="B17" s="8" t="s">
        <v>186</v>
      </c>
      <c r="C17" s="7" t="s">
        <v>187</v>
      </c>
      <c r="D17" s="9">
        <v>10850000000</v>
      </c>
      <c r="E17" s="9">
        <v>9320000000</v>
      </c>
    </row>
    <row r="18" spans="1:5" ht="24" customHeight="1" x14ac:dyDescent="0.55000000000000004">
      <c r="A18" s="7" t="s">
        <v>188</v>
      </c>
      <c r="B18" s="8" t="s">
        <v>189</v>
      </c>
      <c r="C18" s="7" t="s">
        <v>190</v>
      </c>
      <c r="D18" s="9">
        <v>2360000000</v>
      </c>
      <c r="E18" s="9">
        <v>2038800000</v>
      </c>
    </row>
    <row r="19" spans="1:5" ht="24" customHeight="1" x14ac:dyDescent="0.55000000000000004">
      <c r="A19" s="15" t="s">
        <v>191</v>
      </c>
      <c r="B19" s="16" t="s">
        <v>192</v>
      </c>
      <c r="C19" s="15"/>
      <c r="D19" s="17">
        <f>D13+D14-D15-D17-D18</f>
        <v>3650000000</v>
      </c>
      <c r="E19" s="17">
        <f>E13+E14-E15-E17-E18</f>
        <v>2505000000</v>
      </c>
    </row>
    <row r="20" spans="1:5" ht="24" customHeight="1" x14ac:dyDescent="0.55000000000000004">
      <c r="A20" s="7" t="s">
        <v>193</v>
      </c>
      <c r="B20" s="8" t="s">
        <v>194</v>
      </c>
      <c r="C20" s="7" t="s">
        <v>195</v>
      </c>
      <c r="D20" s="9">
        <v>120000000</v>
      </c>
      <c r="E20" s="9">
        <v>80000000</v>
      </c>
    </row>
    <row r="21" spans="1:5" ht="24" customHeight="1" x14ac:dyDescent="0.55000000000000004">
      <c r="A21" s="7" t="s">
        <v>196</v>
      </c>
      <c r="B21" s="8" t="s">
        <v>197</v>
      </c>
      <c r="C21" s="7" t="s">
        <v>198</v>
      </c>
      <c r="D21" s="9">
        <v>20000000</v>
      </c>
      <c r="E21" s="9">
        <v>20000000</v>
      </c>
    </row>
    <row r="22" spans="1:5" ht="24" customHeight="1" x14ac:dyDescent="0.55000000000000004">
      <c r="A22" s="7" t="s">
        <v>199</v>
      </c>
      <c r="B22" s="8" t="s">
        <v>200</v>
      </c>
      <c r="C22" s="7"/>
      <c r="D22" s="9">
        <f>D20-D21</f>
        <v>100000000</v>
      </c>
      <c r="E22" s="9">
        <f>E20-E21</f>
        <v>60000000</v>
      </c>
    </row>
    <row r="23" spans="1:5" ht="28" customHeight="1" x14ac:dyDescent="0.55000000000000004">
      <c r="A23" s="21" t="s">
        <v>201</v>
      </c>
      <c r="B23" s="22" t="s">
        <v>202</v>
      </c>
      <c r="C23" s="21"/>
      <c r="D23" s="23">
        <f>D19+D22</f>
        <v>3750000000</v>
      </c>
      <c r="E23" s="23">
        <f>E19+E22</f>
        <v>2565000000</v>
      </c>
    </row>
    <row r="24" spans="1:5" ht="24" customHeight="1" x14ac:dyDescent="0.55000000000000004">
      <c r="A24" s="7" t="s">
        <v>203</v>
      </c>
      <c r="B24" s="8" t="s">
        <v>204</v>
      </c>
      <c r="C24" s="7" t="s">
        <v>205</v>
      </c>
      <c r="D24" s="9">
        <v>750000000</v>
      </c>
      <c r="E24" s="9">
        <v>425000000</v>
      </c>
    </row>
    <row r="25" spans="1:5" ht="24" customHeight="1" x14ac:dyDescent="0.55000000000000004">
      <c r="A25" s="7" t="s">
        <v>206</v>
      </c>
      <c r="B25" s="8" t="s">
        <v>207</v>
      </c>
      <c r="C25" s="7"/>
      <c r="D25" s="9">
        <v>0</v>
      </c>
      <c r="E25" s="9">
        <v>0</v>
      </c>
    </row>
    <row r="26" spans="1:5" ht="28" customHeight="1" x14ac:dyDescent="0.55000000000000004">
      <c r="A26" s="21" t="s">
        <v>208</v>
      </c>
      <c r="B26" s="22" t="s">
        <v>209</v>
      </c>
      <c r="C26" s="21"/>
      <c r="D26" s="23">
        <f>D23-D24-D25</f>
        <v>3000000000</v>
      </c>
      <c r="E26" s="23">
        <f>E23-E24-E25</f>
        <v>2140000000</v>
      </c>
    </row>
    <row r="27" spans="1:5" ht="24" customHeight="1" x14ac:dyDescent="0.55000000000000004">
      <c r="A27" s="7" t="s">
        <v>210</v>
      </c>
      <c r="B27" s="8" t="s">
        <v>211</v>
      </c>
      <c r="C27" s="7" t="s">
        <v>212</v>
      </c>
      <c r="D27" s="9">
        <f>ROUND(D26/1000000, 0)</f>
        <v>3000</v>
      </c>
      <c r="E27" s="9">
        <f>ROUND(E26/1000000, 0)</f>
        <v>2140</v>
      </c>
    </row>
    <row r="31" spans="1:5" ht="41.4" x14ac:dyDescent="0.55000000000000004">
      <c r="B31" s="1" t="s">
        <v>153</v>
      </c>
      <c r="C31" s="1" t="s">
        <v>154</v>
      </c>
      <c r="E31" s="1" t="s">
        <v>155</v>
      </c>
    </row>
    <row r="35" spans="2:5" x14ac:dyDescent="0.55000000000000004">
      <c r="B35" s="1" t="s">
        <v>156</v>
      </c>
      <c r="C35" s="1" t="s">
        <v>157</v>
      </c>
      <c r="E35" s="1" t="s">
        <v>158</v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topLeftCell="A34" workbookViewId="0">
      <selection sqref="A1:C1"/>
    </sheetView>
  </sheetViews>
  <sheetFormatPr defaultRowHeight="14.4" x14ac:dyDescent="0.55000000000000004"/>
  <cols>
    <col min="1" max="1" width="9" customWidth="1"/>
    <col min="2" max="2" width="61" customWidth="1"/>
    <col min="3" max="3" width="18" customWidth="1"/>
    <col min="4" max="4" width="24" customWidth="1"/>
    <col min="5" max="5" width="46" customWidth="1"/>
  </cols>
  <sheetData>
    <row r="1" spans="1:5" x14ac:dyDescent="0.55000000000000004">
      <c r="A1" s="41" t="s">
        <v>6</v>
      </c>
      <c r="B1" s="34"/>
      <c r="C1" s="34"/>
      <c r="E1" s="12" t="s">
        <v>213</v>
      </c>
    </row>
    <row r="2" spans="1:5" x14ac:dyDescent="0.55000000000000004">
      <c r="A2" s="43" t="s">
        <v>51</v>
      </c>
      <c r="B2" s="34"/>
      <c r="C2" s="34"/>
      <c r="E2" s="13" t="s">
        <v>52</v>
      </c>
    </row>
    <row r="3" spans="1:5" x14ac:dyDescent="0.55000000000000004">
      <c r="A3" s="43" t="s">
        <v>53</v>
      </c>
      <c r="B3" s="34"/>
      <c r="C3" s="34"/>
      <c r="E3" s="13" t="s">
        <v>54</v>
      </c>
    </row>
    <row r="5" spans="1:5" ht="26.05" customHeight="1" x14ac:dyDescent="0.55000000000000004">
      <c r="A5" s="42" t="s">
        <v>214</v>
      </c>
      <c r="B5" s="34"/>
      <c r="C5" s="34"/>
      <c r="D5" s="34"/>
      <c r="E5" s="34"/>
    </row>
    <row r="6" spans="1:5" ht="20.05" customHeight="1" x14ac:dyDescent="0.55000000000000004">
      <c r="A6" s="44" t="s">
        <v>31</v>
      </c>
      <c r="B6" s="34"/>
      <c r="C6" s="34"/>
      <c r="D6" s="34"/>
      <c r="E6" s="34"/>
    </row>
    <row r="7" spans="1:5" ht="18" customHeight="1" x14ac:dyDescent="0.55000000000000004">
      <c r="E7" s="14" t="s">
        <v>57</v>
      </c>
    </row>
    <row r="8" spans="1:5" ht="28" customHeight="1" x14ac:dyDescent="0.55000000000000004">
      <c r="A8" s="2" t="s">
        <v>58</v>
      </c>
      <c r="B8" s="2" t="s">
        <v>59</v>
      </c>
      <c r="C8" s="2" t="s">
        <v>60</v>
      </c>
      <c r="D8" s="2" t="s">
        <v>161</v>
      </c>
      <c r="E8" s="2" t="s">
        <v>162</v>
      </c>
    </row>
    <row r="9" spans="1:5" ht="26.05" customHeight="1" x14ac:dyDescent="0.55000000000000004">
      <c r="A9" s="15" t="s">
        <v>215</v>
      </c>
      <c r="B9" s="16" t="s">
        <v>216</v>
      </c>
      <c r="C9" s="15"/>
      <c r="D9" s="17"/>
      <c r="E9" s="17"/>
    </row>
    <row r="10" spans="1:5" ht="23.05" customHeight="1" x14ac:dyDescent="0.55000000000000004">
      <c r="A10" s="7" t="s">
        <v>163</v>
      </c>
      <c r="B10" s="8" t="s">
        <v>217</v>
      </c>
      <c r="C10" s="7"/>
      <c r="D10" s="9">
        <f>'3. KQKD'!D23</f>
        <v>3750000000</v>
      </c>
      <c r="E10" s="9">
        <f>'3. KQKD'!E23</f>
        <v>2565000000</v>
      </c>
    </row>
    <row r="11" spans="1:5" ht="23.05" customHeight="1" x14ac:dyDescent="0.55000000000000004">
      <c r="A11" s="7" t="s">
        <v>166</v>
      </c>
      <c r="B11" s="8" t="s">
        <v>218</v>
      </c>
      <c r="C11" s="7"/>
      <c r="D11" s="9"/>
      <c r="E11" s="9"/>
    </row>
    <row r="12" spans="1:5" ht="23.05" customHeight="1" x14ac:dyDescent="0.55000000000000004">
      <c r="A12" s="7" t="s">
        <v>219</v>
      </c>
      <c r="B12" s="8" t="s">
        <v>220</v>
      </c>
      <c r="C12" s="7"/>
      <c r="D12" s="9">
        <v>1400000000</v>
      </c>
      <c r="E12" s="9">
        <v>1150000000</v>
      </c>
    </row>
    <row r="13" spans="1:5" ht="23.05" customHeight="1" x14ac:dyDescent="0.55000000000000004">
      <c r="A13" s="7" t="s">
        <v>221</v>
      </c>
      <c r="B13" s="8" t="s">
        <v>222</v>
      </c>
      <c r="C13" s="7"/>
      <c r="D13" s="9">
        <v>20000000</v>
      </c>
      <c r="E13" s="9">
        <v>15000000</v>
      </c>
    </row>
    <row r="14" spans="1:5" ht="23.05" customHeight="1" x14ac:dyDescent="0.55000000000000004">
      <c r="A14" s="7" t="s">
        <v>223</v>
      </c>
      <c r="B14" s="8" t="s">
        <v>224</v>
      </c>
      <c r="C14" s="7"/>
      <c r="D14" s="9">
        <v>820000000</v>
      </c>
      <c r="E14" s="9">
        <v>680000000</v>
      </c>
    </row>
    <row r="15" spans="1:5" ht="23.05" customHeight="1" x14ac:dyDescent="0.55000000000000004">
      <c r="A15" s="18" t="s">
        <v>225</v>
      </c>
      <c r="B15" s="19" t="s">
        <v>226</v>
      </c>
      <c r="C15" s="18"/>
      <c r="D15" s="20">
        <f>SUM(D10:D14)</f>
        <v>5990000000</v>
      </c>
      <c r="E15" s="20">
        <f>SUM(E10:E14)</f>
        <v>4410000000</v>
      </c>
    </row>
    <row r="16" spans="1:5" ht="23.05" customHeight="1" x14ac:dyDescent="0.55000000000000004">
      <c r="A16" s="7" t="s">
        <v>227</v>
      </c>
      <c r="B16" s="8" t="s">
        <v>228</v>
      </c>
      <c r="C16" s="7"/>
      <c r="D16" s="9">
        <v>-600000000</v>
      </c>
      <c r="E16" s="9">
        <v>-450000000</v>
      </c>
    </row>
    <row r="17" spans="1:5" ht="23.05" customHeight="1" x14ac:dyDescent="0.55000000000000004">
      <c r="A17" s="7" t="s">
        <v>169</v>
      </c>
      <c r="B17" s="8" t="s">
        <v>229</v>
      </c>
      <c r="C17" s="7"/>
      <c r="D17" s="9">
        <v>-1850000000</v>
      </c>
      <c r="E17" s="9">
        <v>-1600000000</v>
      </c>
    </row>
    <row r="18" spans="1:5" ht="23.05" customHeight="1" x14ac:dyDescent="0.55000000000000004">
      <c r="A18" s="7" t="s">
        <v>172</v>
      </c>
      <c r="B18" s="8" t="s">
        <v>230</v>
      </c>
      <c r="C18" s="7"/>
      <c r="D18" s="9">
        <v>1950000000</v>
      </c>
      <c r="E18" s="9">
        <v>1420000000</v>
      </c>
    </row>
    <row r="19" spans="1:5" ht="23.05" customHeight="1" x14ac:dyDescent="0.55000000000000004">
      <c r="A19" s="7" t="s">
        <v>231</v>
      </c>
      <c r="B19" s="8" t="s">
        <v>232</v>
      </c>
      <c r="C19" s="7"/>
      <c r="D19" s="9">
        <v>-820000000</v>
      </c>
      <c r="E19" s="9">
        <v>-680000000</v>
      </c>
    </row>
    <row r="20" spans="1:5" ht="23.05" customHeight="1" x14ac:dyDescent="0.55000000000000004">
      <c r="A20" s="7" t="s">
        <v>233</v>
      </c>
      <c r="B20" s="8" t="s">
        <v>234</v>
      </c>
      <c r="C20" s="7"/>
      <c r="D20" s="9">
        <v>-670000000</v>
      </c>
      <c r="E20" s="9">
        <v>-410000000</v>
      </c>
    </row>
    <row r="21" spans="1:5" ht="23.05" customHeight="1" x14ac:dyDescent="0.55000000000000004">
      <c r="A21" s="18" t="s">
        <v>175</v>
      </c>
      <c r="B21" s="19" t="s">
        <v>235</v>
      </c>
      <c r="C21" s="18"/>
      <c r="D21" s="20">
        <f>SUM(D15:D20)</f>
        <v>4000000000</v>
      </c>
      <c r="E21" s="20">
        <f>SUM(E15:E20)</f>
        <v>2690000000</v>
      </c>
    </row>
    <row r="22" spans="1:5" ht="26.05" customHeight="1" x14ac:dyDescent="0.55000000000000004">
      <c r="A22" s="15" t="s">
        <v>236</v>
      </c>
      <c r="B22" s="16" t="s">
        <v>237</v>
      </c>
      <c r="C22" s="15"/>
      <c r="D22" s="17"/>
      <c r="E22" s="17"/>
    </row>
    <row r="23" spans="1:5" ht="23.05" customHeight="1" x14ac:dyDescent="0.55000000000000004">
      <c r="A23" s="7" t="s">
        <v>177</v>
      </c>
      <c r="B23" s="8" t="s">
        <v>238</v>
      </c>
      <c r="C23" s="7"/>
      <c r="D23" s="9">
        <v>-3020000000</v>
      </c>
      <c r="E23" s="9">
        <v>-2450000000</v>
      </c>
    </row>
    <row r="24" spans="1:5" ht="23.05" customHeight="1" x14ac:dyDescent="0.55000000000000004">
      <c r="A24" s="7" t="s">
        <v>183</v>
      </c>
      <c r="B24" s="8" t="s">
        <v>239</v>
      </c>
      <c r="C24" s="7"/>
      <c r="D24" s="9">
        <v>-500000000</v>
      </c>
      <c r="E24" s="9">
        <v>-500000000</v>
      </c>
    </row>
    <row r="25" spans="1:5" ht="23.05" customHeight="1" x14ac:dyDescent="0.55000000000000004">
      <c r="A25" s="7" t="s">
        <v>240</v>
      </c>
      <c r="B25" s="8" t="s">
        <v>241</v>
      </c>
      <c r="C25" s="7"/>
      <c r="D25" s="9">
        <v>420000000</v>
      </c>
      <c r="E25" s="9">
        <v>310000000</v>
      </c>
    </row>
    <row r="26" spans="1:5" ht="23.05" customHeight="1" x14ac:dyDescent="0.55000000000000004">
      <c r="A26" s="18" t="s">
        <v>191</v>
      </c>
      <c r="B26" s="19" t="s">
        <v>242</v>
      </c>
      <c r="C26" s="18"/>
      <c r="D26" s="20">
        <f>SUM(D23:D25)</f>
        <v>-3100000000</v>
      </c>
      <c r="E26" s="20">
        <f>SUM(E23:E25)</f>
        <v>-2640000000</v>
      </c>
    </row>
    <row r="27" spans="1:5" ht="26.05" customHeight="1" x14ac:dyDescent="0.55000000000000004">
      <c r="A27" s="15" t="s">
        <v>243</v>
      </c>
      <c r="B27" s="16" t="s">
        <v>244</v>
      </c>
      <c r="C27" s="15"/>
      <c r="D27" s="17"/>
      <c r="E27" s="17"/>
    </row>
    <row r="28" spans="1:5" ht="23.05" customHeight="1" x14ac:dyDescent="0.55000000000000004">
      <c r="A28" s="7" t="s">
        <v>245</v>
      </c>
      <c r="B28" s="8" t="s">
        <v>246</v>
      </c>
      <c r="C28" s="7"/>
      <c r="D28" s="9">
        <v>8500000000</v>
      </c>
      <c r="E28" s="9">
        <v>7200000000</v>
      </c>
    </row>
    <row r="29" spans="1:5" ht="23.05" customHeight="1" x14ac:dyDescent="0.55000000000000004">
      <c r="A29" s="7" t="s">
        <v>247</v>
      </c>
      <c r="B29" s="8" t="s">
        <v>248</v>
      </c>
      <c r="C29" s="7"/>
      <c r="D29" s="9">
        <v>-7200000000</v>
      </c>
      <c r="E29" s="9">
        <v>-6100000000</v>
      </c>
    </row>
    <row r="30" spans="1:5" ht="23.05" customHeight="1" x14ac:dyDescent="0.55000000000000004">
      <c r="A30" s="7" t="s">
        <v>249</v>
      </c>
      <c r="B30" s="8" t="s">
        <v>250</v>
      </c>
      <c r="C30" s="7"/>
      <c r="D30" s="9">
        <v>-800000000</v>
      </c>
      <c r="E30" s="9">
        <v>-600000000</v>
      </c>
    </row>
    <row r="31" spans="1:5" ht="23.05" customHeight="1" x14ac:dyDescent="0.55000000000000004">
      <c r="A31" s="18" t="s">
        <v>199</v>
      </c>
      <c r="B31" s="19" t="s">
        <v>251</v>
      </c>
      <c r="C31" s="18"/>
      <c r="D31" s="20">
        <f>SUM(D28:D30)</f>
        <v>500000000</v>
      </c>
      <c r="E31" s="20">
        <f>SUM(E28:E30)</f>
        <v>500000000</v>
      </c>
    </row>
    <row r="32" spans="1:5" ht="28" customHeight="1" x14ac:dyDescent="0.55000000000000004">
      <c r="A32" s="21" t="s">
        <v>201</v>
      </c>
      <c r="B32" s="22" t="s">
        <v>252</v>
      </c>
      <c r="C32" s="21"/>
      <c r="D32" s="23">
        <f>D21+D26+D31</f>
        <v>1400000000</v>
      </c>
      <c r="E32" s="23">
        <f>E21+E26+E31</f>
        <v>550000000</v>
      </c>
    </row>
    <row r="33" spans="1:5" ht="23.05" customHeight="1" x14ac:dyDescent="0.55000000000000004">
      <c r="A33" s="7" t="s">
        <v>208</v>
      </c>
      <c r="B33" s="8" t="s">
        <v>253</v>
      </c>
      <c r="C33" s="7"/>
      <c r="D33" s="9">
        <v>3200000000</v>
      </c>
      <c r="E33" s="9">
        <v>2690000000</v>
      </c>
    </row>
    <row r="34" spans="1:5" ht="23.05" customHeight="1" x14ac:dyDescent="0.55000000000000004">
      <c r="A34" s="7" t="s">
        <v>254</v>
      </c>
      <c r="B34" s="8" t="s">
        <v>255</v>
      </c>
      <c r="C34" s="7"/>
      <c r="D34" s="9">
        <v>0</v>
      </c>
      <c r="E34" s="9">
        <v>0</v>
      </c>
    </row>
    <row r="35" spans="1:5" ht="28" customHeight="1" x14ac:dyDescent="0.55000000000000004">
      <c r="A35" s="21" t="s">
        <v>210</v>
      </c>
      <c r="B35" s="22" t="s">
        <v>256</v>
      </c>
      <c r="C35" s="21" t="s">
        <v>67</v>
      </c>
      <c r="D35" s="23">
        <f>D32+D33+D34</f>
        <v>4600000000</v>
      </c>
      <c r="E35" s="23">
        <f>E32+E33+E34</f>
        <v>3240000000</v>
      </c>
    </row>
    <row r="39" spans="1:5" ht="41.4" x14ac:dyDescent="0.55000000000000004">
      <c r="B39" s="1" t="s">
        <v>153</v>
      </c>
      <c r="C39" s="1" t="s">
        <v>154</v>
      </c>
      <c r="E39" s="1" t="s">
        <v>155</v>
      </c>
    </row>
    <row r="43" spans="1:5" x14ac:dyDescent="0.55000000000000004">
      <c r="B43" s="1" t="s">
        <v>156</v>
      </c>
      <c r="C43" s="1" t="s">
        <v>157</v>
      </c>
      <c r="E43" s="1" t="s">
        <v>158</v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topLeftCell="A22" workbookViewId="0">
      <selection sqref="A1:C1"/>
    </sheetView>
  </sheetViews>
  <sheetFormatPr defaultRowHeight="14.4" x14ac:dyDescent="0.55000000000000004"/>
  <cols>
    <col min="1" max="1" width="10" customWidth="1"/>
    <col min="2" max="2" width="58" customWidth="1"/>
    <col min="3" max="3" width="24" customWidth="1"/>
    <col min="4" max="4" width="22" customWidth="1"/>
    <col min="5" max="5" width="46" customWidth="1"/>
    <col min="6" max="6" width="25" customWidth="1"/>
  </cols>
  <sheetData>
    <row r="1" spans="1:6" x14ac:dyDescent="0.55000000000000004">
      <c r="A1" s="41" t="s">
        <v>6</v>
      </c>
      <c r="B1" s="34"/>
      <c r="C1" s="34"/>
      <c r="E1" s="12" t="s">
        <v>257</v>
      </c>
    </row>
    <row r="2" spans="1:6" x14ac:dyDescent="0.55000000000000004">
      <c r="A2" s="43" t="s">
        <v>51</v>
      </c>
      <c r="B2" s="34"/>
      <c r="C2" s="34"/>
      <c r="E2" s="13" t="s">
        <v>52</v>
      </c>
    </row>
    <row r="3" spans="1:6" x14ac:dyDescent="0.55000000000000004">
      <c r="A3" s="43" t="s">
        <v>53</v>
      </c>
      <c r="B3" s="34"/>
      <c r="C3" s="34"/>
      <c r="E3" s="13" t="s">
        <v>54</v>
      </c>
    </row>
    <row r="5" spans="1:6" ht="26.05" customHeight="1" x14ac:dyDescent="0.55000000000000004">
      <c r="A5" s="42" t="s">
        <v>258</v>
      </c>
      <c r="B5" s="34"/>
      <c r="C5" s="34"/>
      <c r="D5" s="34"/>
      <c r="E5" s="34"/>
    </row>
    <row r="6" spans="1:6" ht="20.05" customHeight="1" x14ac:dyDescent="0.55000000000000004">
      <c r="A6" s="44" t="s">
        <v>31</v>
      </c>
      <c r="B6" s="34"/>
      <c r="C6" s="34"/>
      <c r="D6" s="34"/>
      <c r="E6" s="34"/>
    </row>
    <row r="7" spans="1:6" ht="18" customHeight="1" x14ac:dyDescent="0.55000000000000004">
      <c r="E7" s="14" t="s">
        <v>57</v>
      </c>
    </row>
    <row r="9" spans="1:6" ht="26.05" customHeight="1" x14ac:dyDescent="0.55000000000000004">
      <c r="A9" s="37" t="s">
        <v>259</v>
      </c>
      <c r="B9" s="34"/>
      <c r="C9" s="34"/>
      <c r="D9" s="34"/>
      <c r="E9" s="34"/>
      <c r="F9" s="34"/>
    </row>
    <row r="10" spans="1:6" ht="28" customHeight="1" x14ac:dyDescent="0.55000000000000004">
      <c r="A10" s="2" t="s">
        <v>28</v>
      </c>
      <c r="B10" s="2" t="s">
        <v>260</v>
      </c>
      <c r="C10" s="2" t="s">
        <v>261</v>
      </c>
      <c r="D10" s="2" t="s">
        <v>262</v>
      </c>
      <c r="E10" s="2" t="s">
        <v>263</v>
      </c>
      <c r="F10" s="2" t="s">
        <v>264</v>
      </c>
    </row>
    <row r="11" spans="1:6" ht="22" customHeight="1" x14ac:dyDescent="0.55000000000000004">
      <c r="A11" s="7">
        <v>1</v>
      </c>
      <c r="B11" s="8" t="s">
        <v>265</v>
      </c>
      <c r="C11" s="9">
        <v>4250000000</v>
      </c>
      <c r="D11" s="10">
        <f>C11/$C$15</f>
        <v>0.29010238907849828</v>
      </c>
      <c r="E11" s="9">
        <v>3600000000</v>
      </c>
      <c r="F11" s="7" t="s">
        <v>266</v>
      </c>
    </row>
    <row r="12" spans="1:6" ht="22" customHeight="1" x14ac:dyDescent="0.55000000000000004">
      <c r="A12" s="7">
        <v>2</v>
      </c>
      <c r="B12" s="8" t="s">
        <v>267</v>
      </c>
      <c r="C12" s="9">
        <v>5820000000</v>
      </c>
      <c r="D12" s="10">
        <f>C12/$C$15</f>
        <v>0.39726962457337883</v>
      </c>
      <c r="E12" s="9">
        <v>5100000000</v>
      </c>
      <c r="F12" s="7" t="s">
        <v>268</v>
      </c>
    </row>
    <row r="13" spans="1:6" ht="22" customHeight="1" x14ac:dyDescent="0.55000000000000004">
      <c r="A13" s="7">
        <v>3</v>
      </c>
      <c r="B13" s="8" t="s">
        <v>269</v>
      </c>
      <c r="C13" s="9">
        <v>2650000000</v>
      </c>
      <c r="D13" s="10">
        <f>C13/$C$15</f>
        <v>0.18088737201365188</v>
      </c>
      <c r="E13" s="9">
        <v>2300000000</v>
      </c>
      <c r="F13" s="7" t="s">
        <v>270</v>
      </c>
    </row>
    <row r="14" spans="1:6" ht="22" customHeight="1" x14ac:dyDescent="0.55000000000000004">
      <c r="A14" s="7">
        <v>4</v>
      </c>
      <c r="B14" s="8" t="s">
        <v>271</v>
      </c>
      <c r="C14" s="9">
        <v>1930000000</v>
      </c>
      <c r="D14" s="10">
        <f>C14/$C$15</f>
        <v>0.13174061433447098</v>
      </c>
      <c r="E14" s="9">
        <v>1800000000</v>
      </c>
      <c r="F14" s="7" t="s">
        <v>272</v>
      </c>
    </row>
    <row r="15" spans="1:6" ht="24" customHeight="1" x14ac:dyDescent="0.55000000000000004">
      <c r="A15" s="45" t="s">
        <v>273</v>
      </c>
      <c r="B15" s="46"/>
      <c r="C15" s="26">
        <f>SUM(C11:C14)</f>
        <v>14650000000</v>
      </c>
      <c r="D15" s="27">
        <f>SUM(D11:D14)</f>
        <v>1</v>
      </c>
      <c r="E15" s="26">
        <f>SUM(E11:E14)</f>
        <v>12800000000</v>
      </c>
      <c r="F15" s="28" t="s">
        <v>274</v>
      </c>
    </row>
    <row r="17" spans="1:6" ht="26.05" customHeight="1" x14ac:dyDescent="0.55000000000000004">
      <c r="A17" s="37" t="s">
        <v>275</v>
      </c>
      <c r="B17" s="34"/>
      <c r="C17" s="34"/>
      <c r="D17" s="34"/>
      <c r="E17" s="34"/>
      <c r="F17" s="34"/>
    </row>
    <row r="18" spans="1:6" ht="28" customHeight="1" x14ac:dyDescent="0.55000000000000004">
      <c r="A18" s="2" t="s">
        <v>276</v>
      </c>
      <c r="B18" s="2" t="s">
        <v>277</v>
      </c>
      <c r="C18" s="2" t="s">
        <v>278</v>
      </c>
      <c r="D18" s="2" t="s">
        <v>279</v>
      </c>
      <c r="E18" s="2" t="s">
        <v>280</v>
      </c>
      <c r="F18" s="2" t="s">
        <v>281</v>
      </c>
    </row>
    <row r="19" spans="1:6" ht="22" customHeight="1" x14ac:dyDescent="0.55000000000000004">
      <c r="A19" s="7" t="s">
        <v>282</v>
      </c>
      <c r="B19" s="8" t="s">
        <v>283</v>
      </c>
      <c r="C19" s="9">
        <v>2850000000</v>
      </c>
      <c r="D19" s="7" t="s">
        <v>284</v>
      </c>
      <c r="E19" s="8" t="s">
        <v>285</v>
      </c>
      <c r="F19" s="7" t="s">
        <v>286</v>
      </c>
    </row>
    <row r="20" spans="1:6" ht="22" customHeight="1" x14ac:dyDescent="0.55000000000000004">
      <c r="A20" s="7" t="s">
        <v>287</v>
      </c>
      <c r="B20" s="8" t="s">
        <v>288</v>
      </c>
      <c r="C20" s="9">
        <v>2340000000</v>
      </c>
      <c r="D20" s="7" t="s">
        <v>284</v>
      </c>
      <c r="E20" s="8" t="s">
        <v>289</v>
      </c>
      <c r="F20" s="7" t="s">
        <v>286</v>
      </c>
    </row>
    <row r="21" spans="1:6" ht="22" customHeight="1" x14ac:dyDescent="0.55000000000000004">
      <c r="A21" s="7" t="s">
        <v>290</v>
      </c>
      <c r="B21" s="8" t="s">
        <v>291</v>
      </c>
      <c r="C21" s="9">
        <v>1860000000</v>
      </c>
      <c r="D21" s="7" t="s">
        <v>292</v>
      </c>
      <c r="E21" s="8" t="s">
        <v>293</v>
      </c>
      <c r="F21" s="7" t="s">
        <v>286</v>
      </c>
    </row>
    <row r="22" spans="1:6" ht="22" customHeight="1" x14ac:dyDescent="0.55000000000000004">
      <c r="A22" s="7" t="s">
        <v>294</v>
      </c>
      <c r="B22" s="8" t="s">
        <v>295</v>
      </c>
      <c r="C22" s="9">
        <v>1450000000</v>
      </c>
      <c r="D22" s="7" t="s">
        <v>296</v>
      </c>
      <c r="E22" s="8" t="s">
        <v>297</v>
      </c>
      <c r="F22" s="7" t="s">
        <v>286</v>
      </c>
    </row>
    <row r="23" spans="1:6" ht="22" customHeight="1" x14ac:dyDescent="0.55000000000000004">
      <c r="A23" s="7" t="s">
        <v>298</v>
      </c>
      <c r="B23" s="8" t="s">
        <v>299</v>
      </c>
      <c r="C23" s="9">
        <v>1350000000</v>
      </c>
      <c r="D23" s="7" t="s">
        <v>300</v>
      </c>
      <c r="E23" s="8" t="s">
        <v>301</v>
      </c>
      <c r="F23" s="7" t="s">
        <v>286</v>
      </c>
    </row>
    <row r="24" spans="1:6" ht="24" customHeight="1" x14ac:dyDescent="0.55000000000000004">
      <c r="A24" s="45" t="s">
        <v>302</v>
      </c>
      <c r="B24" s="46"/>
      <c r="C24" s="26">
        <f>SUM(C19:C23)</f>
        <v>9850000000</v>
      </c>
      <c r="D24" s="28" t="s">
        <v>303</v>
      </c>
      <c r="E24" s="25"/>
      <c r="F24" s="25"/>
    </row>
    <row r="26" spans="1:6" ht="26.05" customHeight="1" x14ac:dyDescent="0.55000000000000004">
      <c r="A26" s="37" t="s">
        <v>304</v>
      </c>
      <c r="B26" s="34"/>
      <c r="C26" s="34"/>
      <c r="D26" s="34"/>
      <c r="E26" s="34"/>
      <c r="F26" s="34"/>
    </row>
    <row r="27" spans="1:6" ht="28" customHeight="1" x14ac:dyDescent="0.55000000000000004">
      <c r="A27" s="2" t="s">
        <v>28</v>
      </c>
      <c r="B27" s="2" t="s">
        <v>305</v>
      </c>
      <c r="C27" s="2" t="s">
        <v>306</v>
      </c>
      <c r="D27" s="2" t="s">
        <v>262</v>
      </c>
      <c r="E27" s="2" t="s">
        <v>307</v>
      </c>
      <c r="F27" s="2" t="s">
        <v>34</v>
      </c>
    </row>
    <row r="28" spans="1:6" ht="22" customHeight="1" x14ac:dyDescent="0.55000000000000004">
      <c r="A28" s="7">
        <v>1</v>
      </c>
      <c r="B28" s="8" t="s">
        <v>308</v>
      </c>
      <c r="C28" s="9">
        <v>64875000000</v>
      </c>
      <c r="D28" s="10">
        <f>C28/$C$31</f>
        <v>0.75</v>
      </c>
      <c r="E28" s="9">
        <v>56784000000</v>
      </c>
      <c r="F28" s="10">
        <f>(C28-E28)/E28</f>
        <v>0.14248732037193576</v>
      </c>
    </row>
    <row r="29" spans="1:6" ht="22" customHeight="1" x14ac:dyDescent="0.55000000000000004">
      <c r="A29" s="7">
        <v>2</v>
      </c>
      <c r="B29" s="8" t="s">
        <v>309</v>
      </c>
      <c r="C29" s="9">
        <v>14705000000</v>
      </c>
      <c r="D29" s="10">
        <f>C29/$C$31</f>
        <v>0.17</v>
      </c>
      <c r="E29" s="9">
        <v>10920000000</v>
      </c>
      <c r="F29" s="10">
        <f>(C29-E29)/E29</f>
        <v>0.3466117216117216</v>
      </c>
    </row>
    <row r="30" spans="1:6" ht="22" customHeight="1" x14ac:dyDescent="0.55000000000000004">
      <c r="A30" s="7">
        <v>3</v>
      </c>
      <c r="B30" s="8" t="s">
        <v>310</v>
      </c>
      <c r="C30" s="9">
        <v>6920000000</v>
      </c>
      <c r="D30" s="10">
        <f>C30/$C$31</f>
        <v>0.08</v>
      </c>
      <c r="E30" s="9">
        <v>5096000000</v>
      </c>
      <c r="F30" s="10">
        <f>(C30-E30)/E30</f>
        <v>0.35792778649921508</v>
      </c>
    </row>
    <row r="31" spans="1:6" ht="25" customHeight="1" x14ac:dyDescent="0.55000000000000004">
      <c r="A31" s="45" t="s">
        <v>311</v>
      </c>
      <c r="B31" s="46"/>
      <c r="C31" s="26">
        <f>SUM(C28:C30)</f>
        <v>86500000000</v>
      </c>
      <c r="D31" s="27">
        <f>SUM(D28:D30)</f>
        <v>1</v>
      </c>
      <c r="E31" s="26">
        <f>SUM(E28:E30)</f>
        <v>72800000000</v>
      </c>
      <c r="F31" s="27">
        <f>(C31-E31)/E31</f>
        <v>0.18818681318681318</v>
      </c>
    </row>
  </sheetData>
  <mergeCells count="11">
    <mergeCell ref="A26:F26"/>
    <mergeCell ref="A6:E6"/>
    <mergeCell ref="A31:B31"/>
    <mergeCell ref="A2:C2"/>
    <mergeCell ref="A24:B24"/>
    <mergeCell ref="A15:B15"/>
    <mergeCell ref="A1:C1"/>
    <mergeCell ref="A9:F9"/>
    <mergeCell ref="A5:E5"/>
    <mergeCell ref="A3:C3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tabSelected="1" workbookViewId="0">
      <selection sqref="A1:C1"/>
    </sheetView>
  </sheetViews>
  <sheetFormatPr defaultRowHeight="14.4" x14ac:dyDescent="0.55000000000000004"/>
  <cols>
    <col min="1" max="1" width="7" customWidth="1"/>
    <col min="2" max="2" width="57" customWidth="1"/>
    <col min="3" max="3" width="49" customWidth="1"/>
    <col min="4" max="5" width="126" customWidth="1"/>
    <col min="6" max="6" width="27" customWidth="1"/>
    <col min="7" max="7" width="53" customWidth="1"/>
  </cols>
  <sheetData>
    <row r="1" spans="1:7" x14ac:dyDescent="0.55000000000000004">
      <c r="A1" s="41" t="s">
        <v>6</v>
      </c>
      <c r="B1" s="34"/>
      <c r="C1" s="34"/>
      <c r="E1" s="12" t="s">
        <v>312</v>
      </c>
    </row>
    <row r="2" spans="1:7" x14ac:dyDescent="0.55000000000000004">
      <c r="A2" s="43" t="s">
        <v>51</v>
      </c>
      <c r="B2" s="34"/>
      <c r="C2" s="34"/>
      <c r="E2" s="13" t="s">
        <v>52</v>
      </c>
    </row>
    <row r="3" spans="1:7" x14ac:dyDescent="0.55000000000000004">
      <c r="A3" s="43" t="s">
        <v>53</v>
      </c>
      <c r="B3" s="34"/>
      <c r="C3" s="34"/>
      <c r="E3" s="13" t="s">
        <v>54</v>
      </c>
    </row>
    <row r="5" spans="1:7" ht="26.05" customHeight="1" x14ac:dyDescent="0.55000000000000004">
      <c r="A5" s="42" t="s">
        <v>313</v>
      </c>
      <c r="B5" s="34"/>
      <c r="C5" s="34"/>
      <c r="D5" s="34"/>
      <c r="E5" s="34"/>
    </row>
    <row r="6" spans="1:7" ht="20.05" customHeight="1" x14ac:dyDescent="0.55000000000000004">
      <c r="A6" s="44" t="s">
        <v>314</v>
      </c>
      <c r="B6" s="34"/>
      <c r="C6" s="34"/>
      <c r="D6" s="34"/>
      <c r="E6" s="34"/>
    </row>
    <row r="7" spans="1:7" ht="18" customHeight="1" x14ac:dyDescent="0.55000000000000004">
      <c r="E7" s="14" t="s">
        <v>315</v>
      </c>
    </row>
    <row r="8" spans="1:7" ht="28" customHeight="1" x14ac:dyDescent="0.55000000000000004">
      <c r="A8" s="2" t="s">
        <v>28</v>
      </c>
      <c r="B8" s="2" t="s">
        <v>316</v>
      </c>
      <c r="C8" s="2" t="s">
        <v>317</v>
      </c>
      <c r="D8" s="2" t="s">
        <v>31</v>
      </c>
      <c r="E8" s="2" t="s">
        <v>32</v>
      </c>
      <c r="F8" s="2" t="s">
        <v>318</v>
      </c>
      <c r="G8" s="2" t="s">
        <v>319</v>
      </c>
    </row>
    <row r="9" spans="1:7" ht="26.05" customHeight="1" x14ac:dyDescent="0.55000000000000004">
      <c r="A9" s="15" t="s">
        <v>215</v>
      </c>
      <c r="B9" s="16" t="s">
        <v>320</v>
      </c>
      <c r="C9" s="16"/>
      <c r="D9" s="29"/>
      <c r="E9" s="29"/>
      <c r="F9" s="15"/>
      <c r="G9" s="16"/>
    </row>
    <row r="10" spans="1:7" ht="24" customHeight="1" x14ac:dyDescent="0.55000000000000004">
      <c r="A10" s="3" t="s">
        <v>321</v>
      </c>
      <c r="B10" s="4" t="s">
        <v>322</v>
      </c>
      <c r="C10" s="4" t="s">
        <v>323</v>
      </c>
      <c r="D10" s="11">
        <f>'2. Bang Can Doi Ke Toan'!D9/'2. Bang Can Doi Ke Toan'!D32</f>
        <v>1.2772277227722773</v>
      </c>
      <c r="E10" s="11">
        <f>'2. Bang Can Doi Ke Toan'!E9/'2. Bang Can Doi Ke Toan'!E32</f>
        <v>1.2522255192878338</v>
      </c>
      <c r="F10" s="3" t="s">
        <v>324</v>
      </c>
      <c r="G10" s="4" t="s">
        <v>325</v>
      </c>
    </row>
    <row r="11" spans="1:7" ht="24" customHeight="1" x14ac:dyDescent="0.55000000000000004">
      <c r="A11" s="7" t="s">
        <v>326</v>
      </c>
      <c r="B11" s="8" t="s">
        <v>327</v>
      </c>
      <c r="C11" s="8" t="s">
        <v>328</v>
      </c>
      <c r="D11" s="30">
        <f>('2. Bang Can Doi Ke Toan'!D10+'2. Bang Can Doi Ke Toan'!D13+'2. Bang Can Doi Ke Toan'!D14)/'2. Bang Can Doi Ke Toan'!D32</f>
        <v>0.53712871287128716</v>
      </c>
      <c r="E11" s="30">
        <f>('2. Bang Can Doi Ke Toan'!E10+'2. Bang Can Doi Ke Toan'!E13+'2. Bang Can Doi Ke Toan'!E14)/'2. Bang Can Doi Ke Toan'!E32</f>
        <v>0.48071216617210683</v>
      </c>
      <c r="F11" s="7" t="s">
        <v>329</v>
      </c>
      <c r="G11" s="8" t="s">
        <v>330</v>
      </c>
    </row>
    <row r="12" spans="1:7" ht="24" customHeight="1" x14ac:dyDescent="0.55000000000000004">
      <c r="A12" s="7" t="s">
        <v>331</v>
      </c>
      <c r="B12" s="8" t="s">
        <v>332</v>
      </c>
      <c r="C12" s="8" t="s">
        <v>333</v>
      </c>
      <c r="D12" s="30">
        <f>'2. Bang Can Doi Ke Toan'!D10/'2. Bang Can Doi Ke Toan'!D32</f>
        <v>0.24009900990099009</v>
      </c>
      <c r="E12" s="30">
        <f>'2. Bang Can Doi Ke Toan'!E10/'2. Bang Can Doi Ke Toan'!E32</f>
        <v>0.18991097922848665</v>
      </c>
      <c r="F12" s="7" t="s">
        <v>334</v>
      </c>
      <c r="G12" s="8" t="s">
        <v>335</v>
      </c>
    </row>
    <row r="13" spans="1:7" ht="26.05" customHeight="1" x14ac:dyDescent="0.55000000000000004">
      <c r="A13" s="15" t="s">
        <v>236</v>
      </c>
      <c r="B13" s="16" t="s">
        <v>336</v>
      </c>
      <c r="C13" s="16"/>
      <c r="D13" s="29"/>
      <c r="E13" s="29"/>
      <c r="F13" s="15"/>
      <c r="G13" s="16"/>
    </row>
    <row r="14" spans="1:7" ht="24" customHeight="1" x14ac:dyDescent="0.55000000000000004">
      <c r="A14" s="7" t="s">
        <v>337</v>
      </c>
      <c r="B14" s="8" t="s">
        <v>338</v>
      </c>
      <c r="C14" s="8" t="s">
        <v>339</v>
      </c>
      <c r="D14" s="10">
        <f>'2. Bang Can Doi Ke Toan'!D31/'2. Bang Can Doi Ke Toan'!D30</f>
        <v>0.61538461538461542</v>
      </c>
      <c r="E14" s="10">
        <f>'2. Bang Can Doi Ke Toan'!E31/'2. Bang Can Doi Ke Toan'!E30</f>
        <v>0.60909090909090913</v>
      </c>
      <c r="F14" s="7" t="s">
        <v>340</v>
      </c>
      <c r="G14" s="8" t="s">
        <v>341</v>
      </c>
    </row>
    <row r="15" spans="1:7" ht="24" customHeight="1" x14ac:dyDescent="0.55000000000000004">
      <c r="A15" s="7" t="s">
        <v>342</v>
      </c>
      <c r="B15" s="8" t="s">
        <v>343</v>
      </c>
      <c r="C15" s="8" t="s">
        <v>344</v>
      </c>
      <c r="D15" s="10">
        <f>'2. Bang Can Doi Ke Toan'!D31/'2. Bang Can Doi Ke Toan'!D39</f>
        <v>1.6</v>
      </c>
      <c r="E15" s="10">
        <f>'2. Bang Can Doi Ke Toan'!E31/'2. Bang Can Doi Ke Toan'!E39</f>
        <v>1.558139534883721</v>
      </c>
      <c r="F15" s="7" t="s">
        <v>345</v>
      </c>
      <c r="G15" s="8" t="s">
        <v>346</v>
      </c>
    </row>
    <row r="16" spans="1:7" ht="24" customHeight="1" x14ac:dyDescent="0.55000000000000004">
      <c r="A16" s="7" t="s">
        <v>347</v>
      </c>
      <c r="B16" s="8" t="s">
        <v>348</v>
      </c>
      <c r="C16" s="8" t="s">
        <v>349</v>
      </c>
      <c r="D16" s="31">
        <f>('3. KQKD'!D23+'3. KQKD'!D16)/'3. KQKD'!D16</f>
        <v>5.5731707317073171</v>
      </c>
      <c r="E16" s="31">
        <f>('3. KQKD'!E23+'3. KQKD'!E16)/'3. KQKD'!E16</f>
        <v>4.7720588235294121</v>
      </c>
      <c r="F16" s="7" t="s">
        <v>350</v>
      </c>
      <c r="G16" s="8" t="s">
        <v>351</v>
      </c>
    </row>
    <row r="17" spans="1:7" ht="26.05" customHeight="1" x14ac:dyDescent="0.55000000000000004">
      <c r="A17" s="15" t="s">
        <v>243</v>
      </c>
      <c r="B17" s="16" t="s">
        <v>352</v>
      </c>
      <c r="C17" s="16"/>
      <c r="D17" s="29"/>
      <c r="E17" s="29"/>
      <c r="F17" s="15"/>
      <c r="G17" s="16"/>
    </row>
    <row r="18" spans="1:7" ht="24" customHeight="1" x14ac:dyDescent="0.55000000000000004">
      <c r="A18" s="3" t="s">
        <v>353</v>
      </c>
      <c r="B18" s="4" t="s">
        <v>354</v>
      </c>
      <c r="C18" s="4" t="s">
        <v>355</v>
      </c>
      <c r="D18" s="11">
        <f>'3. KQKD'!D12/(('2. Bang Can Doi Ke Toan'!D18+'2. Bang Can Doi Ke Toan'!E18)/2)</f>
        <v>5.0418943533697629</v>
      </c>
      <c r="E18" s="11">
        <f>'3. KQKD'!E12/'2. Bang Can Doi Ke Toan'!E18</f>
        <v>4.5727500000000001</v>
      </c>
      <c r="F18" s="3" t="s">
        <v>356</v>
      </c>
      <c r="G18" s="4" t="s">
        <v>357</v>
      </c>
    </row>
    <row r="19" spans="1:7" ht="24" customHeight="1" x14ac:dyDescent="0.55000000000000004">
      <c r="A19" s="7" t="s">
        <v>358</v>
      </c>
      <c r="B19" s="8" t="s">
        <v>359</v>
      </c>
      <c r="C19" s="8" t="s">
        <v>360</v>
      </c>
      <c r="D19" s="32">
        <f>365/D18</f>
        <v>72.393424855491332</v>
      </c>
      <c r="E19" s="32">
        <f>365/E18</f>
        <v>79.820676835602214</v>
      </c>
      <c r="F19" s="7" t="s">
        <v>361</v>
      </c>
      <c r="G19" s="8" t="s">
        <v>362</v>
      </c>
    </row>
    <row r="20" spans="1:7" ht="24" customHeight="1" x14ac:dyDescent="0.55000000000000004">
      <c r="A20" s="7" t="s">
        <v>363</v>
      </c>
      <c r="B20" s="8" t="s">
        <v>364</v>
      </c>
      <c r="C20" s="8" t="s">
        <v>365</v>
      </c>
      <c r="D20" s="30">
        <f>'3. KQKD'!D11/(('2. Bang Can Doi Ke Toan'!D14+'2. Bang Can Doi Ke Toan'!E14)/2)</f>
        <v>23.378378378378379</v>
      </c>
      <c r="E20" s="30">
        <f>'3. KQKD'!E11/'2. Bang Can Doi Ke Toan'!E14</f>
        <v>21.411764705882351</v>
      </c>
      <c r="F20" s="7" t="s">
        <v>366</v>
      </c>
      <c r="G20" s="8" t="s">
        <v>367</v>
      </c>
    </row>
    <row r="21" spans="1:7" ht="24" customHeight="1" x14ac:dyDescent="0.55000000000000004">
      <c r="A21" s="7" t="s">
        <v>169</v>
      </c>
      <c r="B21" s="8" t="s">
        <v>368</v>
      </c>
      <c r="C21" s="8" t="s">
        <v>369</v>
      </c>
      <c r="D21" s="30">
        <f>'3. KQKD'!D11/(('2. Bang Can Doi Ke Toan'!D30+'2. Bang Can Doi Ke Toan'!E30)/2)</f>
        <v>2.4027777777777777</v>
      </c>
      <c r="E21" s="30">
        <f>'3. KQKD'!E11/'2. Bang Can Doi Ke Toan'!E30</f>
        <v>2.2060606060606061</v>
      </c>
      <c r="F21" s="7" t="s">
        <v>370</v>
      </c>
      <c r="G21" s="8" t="s">
        <v>371</v>
      </c>
    </row>
    <row r="22" spans="1:7" ht="26.05" customHeight="1" x14ac:dyDescent="0.55000000000000004">
      <c r="A22" s="15" t="s">
        <v>372</v>
      </c>
      <c r="B22" s="16" t="s">
        <v>373</v>
      </c>
      <c r="C22" s="16"/>
      <c r="D22" s="29"/>
      <c r="E22" s="29"/>
      <c r="F22" s="15"/>
      <c r="G22" s="16"/>
    </row>
    <row r="23" spans="1:7" ht="24" customHeight="1" x14ac:dyDescent="0.55000000000000004">
      <c r="A23" s="3" t="s">
        <v>172</v>
      </c>
      <c r="B23" s="4" t="s">
        <v>374</v>
      </c>
      <c r="C23" s="4" t="s">
        <v>375</v>
      </c>
      <c r="D23" s="6">
        <f>'3. KQKD'!D13/'3. KQKD'!D11</f>
        <v>0.2</v>
      </c>
      <c r="E23" s="6">
        <f>'3. KQKD'!E13/'3. KQKD'!E11</f>
        <v>0.19600000000000001</v>
      </c>
      <c r="F23" s="3" t="s">
        <v>376</v>
      </c>
      <c r="G23" s="4" t="s">
        <v>377</v>
      </c>
    </row>
    <row r="24" spans="1:7" ht="24" customHeight="1" x14ac:dyDescent="0.55000000000000004">
      <c r="A24" s="3" t="s">
        <v>378</v>
      </c>
      <c r="B24" s="4" t="s">
        <v>379</v>
      </c>
      <c r="C24" s="4" t="s">
        <v>380</v>
      </c>
      <c r="D24" s="6">
        <f>'3. KQKD'!D26/'3. KQKD'!D11</f>
        <v>3.4682080924855488E-2</v>
      </c>
      <c r="E24" s="6">
        <f>'3. KQKD'!E26/'3. KQKD'!E11</f>
        <v>2.9395604395604395E-2</v>
      </c>
      <c r="F24" s="3" t="s">
        <v>381</v>
      </c>
      <c r="G24" s="4" t="s">
        <v>382</v>
      </c>
    </row>
    <row r="25" spans="1:7" ht="24" customHeight="1" x14ac:dyDescent="0.55000000000000004">
      <c r="A25" s="7" t="s">
        <v>383</v>
      </c>
      <c r="B25" s="8" t="s">
        <v>384</v>
      </c>
      <c r="C25" s="8" t="s">
        <v>385</v>
      </c>
      <c r="D25" s="10">
        <f>'3. KQKD'!D26/(('2. Bang Can Doi Ke Toan'!D30+'2. Bang Can Doi Ke Toan'!E30)/2)</f>
        <v>8.3333333333333329E-2</v>
      </c>
      <c r="E25" s="10">
        <f>'3. KQKD'!E26/'2. Bang Can Doi Ke Toan'!E30</f>
        <v>6.484848484848485E-2</v>
      </c>
      <c r="F25" s="7" t="s">
        <v>386</v>
      </c>
      <c r="G25" s="8" t="s">
        <v>387</v>
      </c>
    </row>
    <row r="26" spans="1:7" ht="24" customHeight="1" x14ac:dyDescent="0.55000000000000004">
      <c r="A26" s="3" t="s">
        <v>231</v>
      </c>
      <c r="B26" s="4" t="s">
        <v>46</v>
      </c>
      <c r="C26" s="4" t="s">
        <v>388</v>
      </c>
      <c r="D26" s="6">
        <f>'3. KQKD'!D26/(('2. Bang Can Doi Ke Toan'!D39+'2. Bang Can Doi Ke Toan'!E39)/2)</f>
        <v>0.21505376344086022</v>
      </c>
      <c r="E26" s="6">
        <f>'3. KQKD'!E26/'2. Bang Can Doi Ke Toan'!E39</f>
        <v>0.16589147286821707</v>
      </c>
      <c r="F26" s="3" t="s">
        <v>389</v>
      </c>
      <c r="G26" s="4" t="s">
        <v>390</v>
      </c>
    </row>
    <row r="28" spans="1:7" ht="26.05" customHeight="1" x14ac:dyDescent="0.55000000000000004">
      <c r="A28" s="37" t="s">
        <v>391</v>
      </c>
      <c r="B28" s="34"/>
      <c r="C28" s="34"/>
      <c r="D28" s="34"/>
      <c r="E28" s="34"/>
      <c r="F28" s="34"/>
      <c r="G28" s="34"/>
    </row>
    <row r="29" spans="1:7" ht="22" customHeight="1" x14ac:dyDescent="0.55000000000000004">
      <c r="A29" s="35" t="s">
        <v>392</v>
      </c>
      <c r="B29" s="34"/>
      <c r="C29" s="34"/>
      <c r="D29" s="34"/>
      <c r="E29" s="34"/>
      <c r="F29" s="34"/>
      <c r="G29" s="34"/>
    </row>
    <row r="30" spans="1:7" ht="22" customHeight="1" x14ac:dyDescent="0.55000000000000004">
      <c r="A30" s="35" t="s">
        <v>393</v>
      </c>
      <c r="B30" s="34"/>
      <c r="C30" s="34"/>
      <c r="D30" s="34"/>
      <c r="E30" s="34"/>
      <c r="F30" s="34"/>
      <c r="G30" s="34"/>
    </row>
    <row r="31" spans="1:7" ht="22" customHeight="1" x14ac:dyDescent="0.55000000000000004">
      <c r="A31" s="33" t="s">
        <v>394</v>
      </c>
      <c r="B31" s="34"/>
      <c r="C31" s="34"/>
      <c r="D31" s="34"/>
      <c r="E31" s="34"/>
      <c r="F31" s="34"/>
      <c r="G31" s="34"/>
    </row>
  </sheetData>
  <mergeCells count="9">
    <mergeCell ref="A1:C1"/>
    <mergeCell ref="A31:G31"/>
    <mergeCell ref="A30:G30"/>
    <mergeCell ref="A5:E5"/>
    <mergeCell ref="A3:C3"/>
    <mergeCell ref="A29:G29"/>
    <mergeCell ref="A6:E6"/>
    <mergeCell ref="A2:C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Thong tin chung</vt:lpstr>
      <vt:lpstr>2. Bang Can Doi Ke Toan</vt:lpstr>
      <vt:lpstr>3. KQKD</vt:lpstr>
      <vt:lpstr>4. Luu Chuyen Tien Te</vt:lpstr>
      <vt:lpstr>5. Thuyet Minh BCTC</vt:lpstr>
      <vt:lpstr>6. Phan Tich Tai Chinh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Anh</cp:lastModifiedBy>
  <dcterms:created xsi:type="dcterms:W3CDTF">2026-09-09T14:16:00Z</dcterms:created>
  <dcterms:modified xsi:type="dcterms:W3CDTF">2026-09-09T14:25:07Z</dcterms:modified>
</cp:coreProperties>
</file>